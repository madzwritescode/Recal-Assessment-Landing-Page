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9" sheetId="1" r:id="rId5"/>
    <sheet state="visible" name="Form Responses 2" sheetId="2" r:id="rId6"/>
    <sheet state="visible" name="On-Demand Webinar Interactions" sheetId="3" r:id="rId7"/>
    <sheet state="visible" name="Buteyko Belt Sizes" sheetId="4" r:id="rId8"/>
    <sheet state="visible" name="SRS-RBI Internal" sheetId="5" r:id="rId9"/>
    <sheet state="visible" name="SRS-Readiness Assessment" sheetId="6" r:id="rId10"/>
    <sheet state="visible" name="SRS-Training Timeline data" sheetId="7" r:id="rId11"/>
    <sheet state="visible" name="Landing Page Signups" sheetId="8" r:id="rId12"/>
    <sheet state="hidden" name="Form Responses 1" sheetId="9" r:id="rId13"/>
    <sheet state="hidden" name="Calculations &amp; Lookup" sheetId="10" r:id="rId14"/>
    <sheet state="visible" name="Mountain Madness - Denali Leads" sheetId="11" r:id="rId15"/>
    <sheet state="visible" name="Webinar Registrant Info" sheetId="12" r:id="rId16"/>
    <sheet state="visible" name="Recal IDs Log" sheetId="13" r:id="rId17"/>
    <sheet state="hidden" name="Test" sheetId="14" r:id="rId18"/>
    <sheet state="hidden" name="Beta Tester Survey"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tc={08381b47-6bde-4e7c-861d-cb54b67584ee}</author>
    <author>tc={10b02eec-f2a7-4050-bb3e-491e2dda5383}</author>
  </authors>
  <commentList>
    <comment authorId="0" xr:uid="{08381b47-6bde-4e7c-861d-cb54b67584ee}" ref="F19">
      <text>
        <t xml:space="preserve">[Threaded comment]
 Your version of Excel allows you to read this threaded comment; however, any edits to it will get removed if the file is opened in a newer version of Excel. Learn more: https://go.microsoft.com/fwlink/?linkid=870924
Comment:
	From 10/9: 
Bolt-17
Co2tt-27
Mbt-60
</t>
      </text>
    </comment>
    <comment authorId="1" xr:uid="{10b02eec-f2a7-4050-bb3e-491e2dda5383}" ref="B21">
      <text>
        <t xml:space="preserve">[Threaded comment]
 Your version of Excel allows you to read this threaded comment; however, any edits to it will get removed if the file is opened in a newer version of Excel. Learn more: https://go.microsoft.com/fwlink/?linkid=870924
Comment:
	@madhanprasad0.5@gmail.com was this you? or real?
Reply:
	Real
Reply:
	@anthony@recaltravel.com None of my tests will be in this sheet anymore.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tc={f4bd73e3-4797-46f4-ae94-4c8069ea73f7}</author>
  </authors>
  <commentList>
    <comment authorId="0" xr:uid="{f4bd73e3-4797-46f4-ae94-4c8069ea73f7}" ref="A24">
      <text>
        <t xml:space="preserve">[Threaded comment]
 Your version of Excel allows you to read this threaded comment; however, any edits to it will get removed if the file is opened in a newer version of Excel. Learn more: https://go.microsoft.com/fwlink/?linkid=870924
Comment:
	@madhanprasad0.5@gmail.com can you drop anyone who submits their Buteyko Belt size here (or at least in this sheet)?
Assigned to madhanprasad0.5@gmail.com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tc={49c6776b-7c83-4fcc-91a3-17af0372542d}</author>
  </authors>
  <commentList>
    <comment authorId="0" xr:uid="{49c6776b-7c83-4fcc-91a3-17af0372542d}" ref="Q7">
      <text>
        <t xml:space="preserve">[Threaded comment]
 Your version of Excel allows you to read this threaded comment; however, any edits to it will get removed if the file is opened in a newer version of Excel. Learn more: https://go.microsoft.com/fwlink/?linkid=870924
Comment:
	@madhanprasad0.5@gmail.com can we talk about how the weakest is being calculated here? when I view this, her weakest SHOULD be the LOM. I want to check the underlying calculation.
</t>
      </text>
    </comment>
  </commentList>
</comments>
</file>

<file path=xl/sharedStrings.xml><?xml version="1.0" encoding="utf-8"?>
<sst xmlns="http://schemas.openxmlformats.org/spreadsheetml/2006/main" count="8864" uniqueCount="1650">
  <si>
    <t>Webinar ID</t>
  </si>
  <si>
    <t>Name</t>
  </si>
  <si>
    <t>Size</t>
  </si>
  <si>
    <t>Ordered?</t>
  </si>
  <si>
    <t>Date ordered</t>
  </si>
  <si>
    <t>Email</t>
  </si>
  <si>
    <t>Received?</t>
  </si>
  <si>
    <t>Message</t>
  </si>
  <si>
    <t>Michelle Lomeli</t>
  </si>
  <si>
    <t>Timestamp</t>
  </si>
  <si>
    <t>Small</t>
  </si>
  <si>
    <t>Yes</t>
  </si>
  <si>
    <t>Matthew Thomas</t>
  </si>
  <si>
    <t>Large</t>
  </si>
  <si>
    <t>Dominique</t>
  </si>
  <si>
    <t>Medium</t>
  </si>
  <si>
    <t>Eileen Mauk</t>
  </si>
  <si>
    <t>evergreen-webinar</t>
  </si>
  <si>
    <t>Alex Honnold</t>
  </si>
  <si>
    <t>alex.honnold@example.com</t>
  </si>
  <si>
    <t>What breathing protocol is best for recovery after climbing?</t>
  </si>
  <si>
    <t>Dana LaVenture</t>
  </si>
  <si>
    <t>Evergreen Poll #1 Selection: "Yes, multiple summits" | Question: "Have you ever climbed a 14er (14,000+ ft peak)?"</t>
  </si>
  <si>
    <t>Michael Knittel</t>
  </si>
  <si>
    <t>Analytics - Engagement Drop-off: reached 80% (41:30)</t>
  </si>
  <si>
    <t>Madhan Prasad</t>
  </si>
  <si>
    <t>madhanprasad0.5@gmail.com</t>
  </si>
  <si>
    <t>Katherie Mazzali</t>
  </si>
  <si>
    <t>Analytics - Playback Speed Changed: set to 1x at 0:01</t>
  </si>
  <si>
    <t>XS</t>
  </si>
  <si>
    <t>Jeff Slevin</t>
  </si>
  <si>
    <t>First Name</t>
  </si>
  <si>
    <t>Hello</t>
  </si>
  <si>
    <t>Barb Edwards</t>
  </si>
  <si>
    <t>Last Name</t>
  </si>
  <si>
    <t>Evergreen Viewer</t>
  </si>
  <si>
    <t>Not Provided</t>
  </si>
  <si>
    <t>Analytics - Playback Speed Changed: set to 1x at 0:05</t>
  </si>
  <si>
    <t>Santiago Perez</t>
  </si>
  <si>
    <t>Company</t>
  </si>
  <si>
    <t>Analytics - Rewind Event: from 0:58 back to 0:28 (2 left)</t>
  </si>
  <si>
    <t>My Current Goal is:</t>
  </si>
  <si>
    <t>Julie Lundstrom</t>
  </si>
  <si>
    <t>Anthony Lorubbio</t>
  </si>
  <si>
    <t>anthony.lorubbio@gmail.com</t>
  </si>
  <si>
    <t>Boulder CO - climbing aconcagua in 2027</t>
  </si>
  <si>
    <t>TC Houston</t>
  </si>
  <si>
    <t>BOLT Score</t>
  </si>
  <si>
    <t>Melissa Shaw</t>
  </si>
  <si>
    <t>WhatsApp</t>
  </si>
  <si>
    <t>CO2TT Score</t>
  </si>
  <si>
    <t>Another submission</t>
  </si>
  <si>
    <t>MBT Score</t>
  </si>
  <si>
    <t>Andrea</t>
  </si>
  <si>
    <t>LOM Zones</t>
  </si>
  <si>
    <t>Analytics - Playback Speed Changed: set to 2x at 0:38</t>
  </si>
  <si>
    <t>ROM Percentage</t>
  </si>
  <si>
    <t>Michael Monin</t>
  </si>
  <si>
    <t>Analytics - Playback Speed Changed: set to 1x at 1:45</t>
  </si>
  <si>
    <t>Tell us more about your goal:</t>
  </si>
  <si>
    <t>Rolf Widmer</t>
  </si>
  <si>
    <t>Analytics - Rewind Event: from 2:13 back to 1:43 (1 left)</t>
  </si>
  <si>
    <t>1BT Score</t>
  </si>
  <si>
    <t>Recal</t>
  </si>
  <si>
    <t>Age</t>
  </si>
  <si>
    <t>Analytics - Rewind Event: from 2:15 back to 1:45 (0 left)</t>
  </si>
  <si>
    <t>Kitt Hodsden</t>
  </si>
  <si>
    <t>Gender</t>
  </si>
  <si>
    <t>Evergreen Poll #1 Selection: "Altitude sickness" | Question: "What is your biggest concern?"</t>
  </si>
  <si>
    <t>Recal ID</t>
  </si>
  <si>
    <t>+91 8015401278</t>
  </si>
  <si>
    <t>Evergreen Poll #2 Selection: "I've never been to high altitude" | Question: "Have you struggled at altitude before?"</t>
  </si>
  <si>
    <t>Anne ORiordan</t>
  </si>
  <si>
    <t>Calculated Summit-Ready Score</t>
  </si>
  <si>
    <t>Osvaldo</t>
  </si>
  <si>
    <t>Analytics - Playback Speed Changed: set to 2x at 3:08</t>
  </si>
  <si>
    <t>Calculated Grade</t>
  </si>
  <si>
    <t>Don</t>
  </si>
  <si>
    <t>Calculated Badge</t>
  </si>
  <si>
    <t>Nicholas Pace</t>
  </si>
  <si>
    <t>Boniface Nkunda</t>
  </si>
  <si>
    <t>Evergreen Poll #3 Selection: "Acclimatization Schedule" | Question: "If you had to guess… which determines success at altitude MOST?"</t>
  </si>
  <si>
    <t>Mari</t>
  </si>
  <si>
    <t>Analytics - Playback Speed Changed: set to 1.25x at 0:01</t>
  </si>
  <si>
    <t xml:space="preserve">Africanenvironments </t>
  </si>
  <si>
    <t>Bryan</t>
  </si>
  <si>
    <t>bonifacenkunda@yahoo.com</t>
  </si>
  <si>
    <t>Analytics - Viewer Left Session: watched up to 0:01 (0% total progress)</t>
  </si>
  <si>
    <t>+255757430937</t>
  </si>
  <si>
    <t>Connelly</t>
  </si>
  <si>
    <t>Analytics - Playback Speed Changed: set to 2x at 0:02</t>
  </si>
  <si>
    <t>Analytics - Viewer Left Session: watched up to 0:44 (1% total progress)</t>
  </si>
  <si>
    <t xml:space="preserve">Gladness Tillya </t>
  </si>
  <si>
    <t>bryancconnelly@gmail.com</t>
  </si>
  <si>
    <t xml:space="preserve">Improve running </t>
  </si>
  <si>
    <t>bonadventureafrica.com</t>
  </si>
  <si>
    <t>Analytics - Viewer Left Session: watched up to 1:30 (2% total progress)</t>
  </si>
  <si>
    <t>Analytics - Playback Speed Changed: set to 1.25x at 1:26</t>
  </si>
  <si>
    <t>John Doe</t>
  </si>
  <si>
    <t>john.doe@example.com</t>
  </si>
  <si>
    <t>What is the best training plan for Mt Everest?</t>
  </si>
  <si>
    <t>Zone 1 and a bit of Zone 2, Belly movement apparent</t>
  </si>
  <si>
    <t>Evergreen Poll #3 Selection: "Aerobic Fitness" | Question: "If you had to guess… which determines success at altitude MOST?"</t>
  </si>
  <si>
    <t>Analytics - Engagement Drop-off: reached 10% (5:59)</t>
  </si>
  <si>
    <t>Evergreen Poll #5 Selection: "Chest" | Question: "Where is your Location of Movement?"</t>
  </si>
  <si>
    <t>Analytics - Engagement Drop-off: reached 20% (11:56)</t>
  </si>
  <si>
    <t>Analytics - Playback Speed Changed: set to 2x at 16:17</t>
  </si>
  <si>
    <t>Analytics - Engagement Drop-off: reached 30% (17:56)</t>
  </si>
  <si>
    <t>gladness.tillya@outlook.com</t>
  </si>
  <si>
    <t>+255622230231</t>
  </si>
  <si>
    <t>Analytics - Engagement Drop-off: reached 40% (23:54)</t>
  </si>
  <si>
    <t>Analytics - Engagement Drop-off: reached 50% (29:52)</t>
  </si>
  <si>
    <t>Analytics - Engagement Drop-off: reached 60% (35:50)</t>
  </si>
  <si>
    <t>Analytics - Viewer Left Session: watched up to 36:39 (61% total progress)</t>
  </si>
  <si>
    <t>Analytics - Viewer Left Session: watched up to 0:06 (0% total progress)</t>
  </si>
  <si>
    <t>Analytics - Playback Speed Changed: set to 2x at 0:03</t>
  </si>
  <si>
    <t>Evergreen Poll #2 Selection: "Yes" | Question: "Have you struggled at altitude before?"</t>
  </si>
  <si>
    <t>Analytics - Engagement Drop-off: reached 10% (5:58)</t>
  </si>
  <si>
    <t>Analytics - Engagement Drop-off: reached 20% (13:52)</t>
  </si>
  <si>
    <t>Analytics - Engagement Drop-off: reached 30% (19:52)</t>
  </si>
  <si>
    <t>Analytics - Engagement Drop-off: reached 40% (25:52)</t>
  </si>
  <si>
    <t>Analytics - Engagement Drop-off: reached 60% (35:52)</t>
  </si>
  <si>
    <t>Analytics - Viewer Left Session: watched up to 0:05 (0% total progress)</t>
  </si>
  <si>
    <t>Analytics - Rewind Event: from 41:24 back to 31:41 (2 left)</t>
  </si>
  <si>
    <t>Analytics - Rewind Event: from 31:56 back to 24:31 (1 left)</t>
  </si>
  <si>
    <t>Analytics - Engagement Drop-off: reached 70% (42:24)</t>
  </si>
  <si>
    <t>Analytics - Engagement Drop-off: reached 80% (48:24)</t>
  </si>
  <si>
    <t>BOLT</t>
  </si>
  <si>
    <t>Analytics - Engagement Drop-off: reached 90% (54:24)</t>
  </si>
  <si>
    <t>CO2TT</t>
  </si>
  <si>
    <t>Analytics - Engagement Drop-off: reached 100% (59:43)</t>
  </si>
  <si>
    <t>MBT</t>
  </si>
  <si>
    <t>LOM</t>
  </si>
  <si>
    <t>Analytics - Viewer Left Session: watched up to 0:23 (0% total progress)</t>
  </si>
  <si>
    <t>Analytics - Playback Speed Changed: set to 2x at 2:51</t>
  </si>
  <si>
    <t>1BT</t>
  </si>
  <si>
    <t>Goal</t>
  </si>
  <si>
    <t>Analytics - Viewer Left Session: watched up to 3:04 (5% total progress)</t>
  </si>
  <si>
    <t>Goal Notes</t>
  </si>
  <si>
    <t>Final Score</t>
  </si>
  <si>
    <t>Analytics - Viewer Left Session: watched up to 6:36 (11% total progress)</t>
  </si>
  <si>
    <t>Grade</t>
  </si>
  <si>
    <t>Level</t>
  </si>
  <si>
    <t>Strongest</t>
  </si>
  <si>
    <t>Analytics - Engagement Drop-off: reached 20% (11:57)</t>
  </si>
  <si>
    <t>Weakest</t>
  </si>
  <si>
    <t>Analytics - Engagement Drop-off: reached 30% (17:55)</t>
  </si>
  <si>
    <t>Column 1</t>
  </si>
  <si>
    <t>Analytics - Engagement Drop-off: reached 40% (23:53)</t>
  </si>
  <si>
    <t>Column 2</t>
  </si>
  <si>
    <t>Column 3</t>
  </si>
  <si>
    <t>Analytics - Engagement Drop-off: reached 70% (41:48)</t>
  </si>
  <si>
    <t>Jeff</t>
  </si>
  <si>
    <t>Analytics - Engagement Drop-off: reached 80% (47:47)</t>
  </si>
  <si>
    <t>jpslevin@msn.com</t>
  </si>
  <si>
    <t>Analytics - Viewer Left Session: watched up to 49:48 (83% total progress)</t>
  </si>
  <si>
    <t>Analytics - Viewer Left Session: watched up to 0:00 (0% total progress)</t>
  </si>
  <si>
    <t>Male</t>
  </si>
  <si>
    <t>Analytics - Rewind Event: from 12:06 back to 11:03 (2 left)</t>
  </si>
  <si>
    <t>Analytics - Rewind Event: from 11:03 back to 10:31 (1 left)</t>
  </si>
  <si>
    <t>Zone 2</t>
  </si>
  <si>
    <t>Analytics - Rewind Event: from 29:29 back to 28:59 (0 left)</t>
  </si>
  <si>
    <t>Denali trek starting May 24th.</t>
  </si>
  <si>
    <t>Climb a high altitude mountain</t>
  </si>
  <si>
    <t>Poor</t>
  </si>
  <si>
    <t>Altitude Apprentice</t>
  </si>
  <si>
    <t>Analytics - Viewer Left Session: watched up to 45:58 (76% total progress)</t>
  </si>
  <si>
    <t>Analytics - Playback Speed Changed: set to 2x at 0:00</t>
  </si>
  <si>
    <t>Analytics - Engagement Drop-off: reached 10% (6:00)</t>
  </si>
  <si>
    <t>Analytics - Engagement Drop-off: reached 10% (6:59)</t>
  </si>
  <si>
    <t>Analytics - Engagement Drop-off: reached 20% (12:57)</t>
  </si>
  <si>
    <t>Analytics - Engagement Drop-off: reached 30% (18:57)</t>
  </si>
  <si>
    <t>Analytics - Engagement Drop-off: reached 40% (24:57)</t>
  </si>
  <si>
    <t>Analytics - Playback Speed Changed: set to 1.25x at 29:43</t>
  </si>
  <si>
    <t>Analytics - Engagement Drop-off: reached 50% (29:51)</t>
  </si>
  <si>
    <t>Analytics - Playback Speed Changed: set to 2x at 30:41</t>
  </si>
  <si>
    <t>Matthew</t>
  </si>
  <si>
    <t>Analytics - Playback Speed Changed: set to 1.5x at 32:04</t>
  </si>
  <si>
    <t>matthewthomas2009@aol.com</t>
  </si>
  <si>
    <t>Analytics - Playback Speed Changed: set to 1.5x at 34:06</t>
  </si>
  <si>
    <t>Anthony - calling in from Trieste. yes, expedition to mt blanc in this summer.</t>
  </si>
  <si>
    <t>Analytics - Engagement Drop-off: reached 60% (35:51)</t>
  </si>
  <si>
    <t>Analytics - Engagement Drop-off: reached 70% (41:49)</t>
  </si>
  <si>
    <t>Evergreen Poll #12 Selection: "I don’t have time" | Question: "What feels hardest about improving your breathing right now?"</t>
  </si>
  <si>
    <t>Zone 1 and a bit of Zone 2, belly movement apparent</t>
  </si>
  <si>
    <t>Analytics - Playback Speed Changed: set to 2x at 44:17</t>
  </si>
  <si>
    <t>Analytics - Engagement Drop-off: reached 80% (47:53)</t>
  </si>
  <si>
    <t>I am training to hike four 14ers in June of this year and Mount Baker in July of this year. My ultimate goal is Kilimanjaro in 2027.</t>
  </si>
  <si>
    <t>Analytics - Engagement Drop-off: reached 90% (53:46)</t>
  </si>
  <si>
    <t>Analytics - Viewer Left Session: watched up to 8:56 (14% total progress)</t>
  </si>
  <si>
    <r>
      <rPr>
        <rFont val="Arial"/>
        <b/>
        <color theme="1"/>
      </rPr>
      <t xml:space="preserve">Sustained Effort Capacity: </t>
    </r>
    <r>
      <rPr>
        <rFont val="Arial"/>
        <color theme="1"/>
      </rPr>
      <t>How well can you sustain moderate aerobic effort for extended periods?</t>
    </r>
  </si>
  <si>
    <t>Analytics - Playback Speed Changed: set to 2x at 0:01</t>
  </si>
  <si>
    <r>
      <rPr>
        <rFont val="Arial"/>
        <b/>
        <color theme="1"/>
      </rPr>
      <t xml:space="preserve">Load or Fatigue Resistance: </t>
    </r>
    <r>
      <rPr>
        <rFont val="Arial"/>
        <color theme="1"/>
      </rPr>
      <t>When training or hiking with fatigue or load:</t>
    </r>
  </si>
  <si>
    <r>
      <rPr>
        <rFont val="Arial"/>
        <b/>
        <color theme="1"/>
      </rPr>
      <t xml:space="preserve">Recovery Between Hard Days: </t>
    </r>
    <r>
      <rPr>
        <rFont val="Arial"/>
        <color theme="1"/>
      </rPr>
      <t>After a hard training day:</t>
    </r>
  </si>
  <si>
    <r>
      <rPr>
        <rFont val="Arial"/>
        <b/>
        <color theme="1"/>
      </rPr>
      <t xml:space="preserve">Stress Load Tolerance: </t>
    </r>
    <r>
      <rPr>
        <rFont val="Arial"/>
        <color theme="1"/>
      </rPr>
      <t>When life stress increases (work, travel, poor sleep):</t>
    </r>
  </si>
  <si>
    <t>Kate</t>
  </si>
  <si>
    <r>
      <rPr>
        <rFont val="Arial"/>
        <b/>
        <color theme="1"/>
      </rPr>
      <t xml:space="preserve">Fueling During Long Efforts: </t>
    </r>
    <r>
      <rPr>
        <rFont val="Arial"/>
        <color theme="1"/>
      </rPr>
      <t>During long training sessions or hikes:</t>
    </r>
  </si>
  <si>
    <t>katherinemazzali@gmail.com</t>
  </si>
  <si>
    <t>Female</t>
  </si>
  <si>
    <r>
      <rPr>
        <rFont val="Arial"/>
        <b/>
        <color theme="1"/>
      </rPr>
      <t xml:space="preserve">GI Tolerance Under Stress: </t>
    </r>
    <r>
      <rPr>
        <rFont val="Arial"/>
        <color theme="1"/>
      </rPr>
      <t>Under fatigue, cold, or exertion:</t>
    </r>
  </si>
  <si>
    <r>
      <rPr>
        <rFont val="Arial"/>
        <b/>
        <color theme="1"/>
      </rPr>
      <t xml:space="preserve">Sleep Consistency: </t>
    </r>
    <r>
      <rPr>
        <rFont val="Arial"/>
        <color theme="1"/>
      </rPr>
      <t>In unfamiliar or uncomfortable environments:</t>
    </r>
  </si>
  <si>
    <r>
      <rPr>
        <rFont val="Arial"/>
        <b/>
        <color theme="1"/>
      </rPr>
      <t xml:space="preserve">Cold / Environmental Stress: </t>
    </r>
    <r>
      <rPr>
        <rFont val="Arial"/>
        <color theme="1"/>
      </rPr>
      <t>In cold, wind, or bad weather:</t>
    </r>
  </si>
  <si>
    <t>Analytics - Engagement Drop-off: reached 90% (53:45)</t>
  </si>
  <si>
    <r>
      <rPr>
        <rFont val="Arial"/>
        <b/>
        <color theme="1"/>
      </rPr>
      <t xml:space="preserve">Decision-Making Under Fatigue: </t>
    </r>
    <r>
      <rPr>
        <rFont val="Arial"/>
        <color theme="1"/>
      </rPr>
      <t>When exhausted:</t>
    </r>
  </si>
  <si>
    <t>EBC in October</t>
  </si>
  <si>
    <r>
      <rPr>
        <rFont val="Arial"/>
        <b/>
        <color theme="1"/>
      </rPr>
      <t xml:space="preserve">Response to Discomfort: </t>
    </r>
    <r>
      <rPr>
        <rFont val="Arial"/>
        <color theme="1"/>
      </rPr>
      <t>When progress is slow or uncomfortable:</t>
    </r>
  </si>
  <si>
    <t>Analytics - Viewer Left Session: watched up to 59:43 (100% total progress)</t>
  </si>
  <si>
    <r>
      <rPr>
        <rFont val="Arial"/>
        <b/>
        <color theme="1"/>
      </rPr>
      <t xml:space="preserve">Operating While Depleted: </t>
    </r>
    <r>
      <rPr>
        <rFont val="Arial"/>
        <color theme="1"/>
      </rPr>
      <t>I have experience functioning when tired, cold, and under-recovered:</t>
    </r>
  </si>
  <si>
    <t>Breath Beginner</t>
  </si>
  <si>
    <t>What is your multi-day endurance experience level?</t>
  </si>
  <si>
    <t>Analytics - Playback Speed Changed: set to 1.25x at 2:05</t>
  </si>
  <si>
    <t>What is your highest functional altitude experience?</t>
  </si>
  <si>
    <t>Which best describes your past experience preparing and managing expedition systems (gear, nutrition, layering, recovery) ?</t>
  </si>
  <si>
    <t>Analytics - Playback Speed Changed: set to 2x at 3:17</t>
  </si>
  <si>
    <t>eileenbaugh@yahoo.com</t>
  </si>
  <si>
    <t>Michelle</t>
  </si>
  <si>
    <t>mkibby1@stanford.edu</t>
  </si>
  <si>
    <t>Analytics - Playback Speed Changed: set to 1.5x at 4:38</t>
  </si>
  <si>
    <t>3: I regularly sustain 3+ hours with minimal performance drop</t>
  </si>
  <si>
    <t>1: I can manage short efforts but slow significantly</t>
  </si>
  <si>
    <t>Analytics - Viewer Left Session: watched up to 5:53 (9% total progress)</t>
  </si>
  <si>
    <t>2: I recover well within 24–36 hours</t>
  </si>
  <si>
    <t>1: I struggle but can maintain some consistency</t>
  </si>
  <si>
    <t>2: I fuel regularly with manageable dips</t>
  </si>
  <si>
    <t>1: I occasionally struggle to eat</t>
  </si>
  <si>
    <t>Everest base camp in October</t>
  </si>
  <si>
    <t>Anthony</t>
  </si>
  <si>
    <t>3: I generally sleep well despite conditions</t>
  </si>
  <si>
    <t>2: I adapt with systems and pacing</t>
  </si>
  <si>
    <t>DiFrancesco</t>
  </si>
  <si>
    <t>2: I slow down but remain deliberate</t>
  </si>
  <si>
    <t>acdifran@gmail.com</t>
  </si>
  <si>
    <t>1: I fixate on the discomfort</t>
  </si>
  <si>
    <t>2: Regularly</t>
  </si>
  <si>
    <t xml:space="preserve">General breathing improvement </t>
  </si>
  <si>
    <t>1: 1–2 trips of 3–5 days</t>
  </si>
  <si>
    <t>0: No experience above 4000 m (~13,000 ft)</t>
  </si>
  <si>
    <t>2: Planned and tested most personal systems on prior multi-day trips</t>
  </si>
  <si>
    <t>Julie</t>
  </si>
  <si>
    <t>Dana</t>
  </si>
  <si>
    <t>julieannlundstrom@gmail.com</t>
  </si>
  <si>
    <t>dane07md@gmail.com</t>
  </si>
  <si>
    <t>Analytics - Viewer Left Session: watched up to 52:18 (87% total progress)</t>
  </si>
  <si>
    <t>Analytics - Viewer Left Session: watched up to 0:21 (0% total progress)</t>
  </si>
  <si>
    <t>2: I maintain form and pacing for several hours</t>
  </si>
  <si>
    <t>Analytics - Playback Speed Changed: set to 1.25x at 0:25</t>
  </si>
  <si>
    <t>2: I adapt with minor performance impact</t>
  </si>
  <si>
    <t>2: I tolerate food with minor issues</t>
  </si>
  <si>
    <t>3: I remain calm and functional</t>
  </si>
  <si>
    <t>Denali starting May 20</t>
  </si>
  <si>
    <t>2: I accept it and adjust expectations</t>
  </si>
  <si>
    <t>1: Occasionally</t>
  </si>
  <si>
    <t>Very Poor</t>
  </si>
  <si>
    <t>3: Multiple 10+ day expeditions or equivalents</t>
  </si>
  <si>
    <t>Base Camp Beginner</t>
  </si>
  <si>
    <t>3: Repeated exposures above 5500 m (18,000 ft) with staged acclimatization and maintained performance</t>
  </si>
  <si>
    <t>3: Independently planned, tested, and refined full expedition systems across multiple trips</t>
  </si>
  <si>
    <t>Melissa</t>
  </si>
  <si>
    <t>2: I can sustain 2–3 hours with consistent pacing</t>
  </si>
  <si>
    <t>meshaw13@gmail.com</t>
  </si>
  <si>
    <t>3: I often feel ready again within 24 hours</t>
  </si>
  <si>
    <t>Analytics - Playback Speed Changed: set to 1x at 0:00</t>
  </si>
  <si>
    <t>1: I sleep lightly and wake often</t>
  </si>
  <si>
    <t>Zone 3, some Zone 2, shoulder movement apparent</t>
  </si>
  <si>
    <t>1: I struggle but push through</t>
  </si>
  <si>
    <t>1: I struggle to think clearly</t>
  </si>
  <si>
    <t>Kilimanjaro in August</t>
  </si>
  <si>
    <t>0: No multi-day endurance or expedition experience</t>
  </si>
  <si>
    <t>0: Limited experience managing full expedition systems in the field</t>
  </si>
  <si>
    <t>Michael</t>
  </si>
  <si>
    <t>mwknittel@yahoo.com</t>
  </si>
  <si>
    <t xml:space="preserve"> Yvonne</t>
  </si>
  <si>
    <t>y.jap@gmx.de</t>
  </si>
  <si>
    <t>3: I remain efficient even late into long or loaded days</t>
  </si>
  <si>
    <t>3: I remain stable with deliberate adjustments</t>
  </si>
  <si>
    <t>Hey I'm Anthony</t>
  </si>
  <si>
    <t>3: I fuel consistently with stable energy</t>
  </si>
  <si>
    <t>again</t>
  </si>
  <si>
    <t>3: I can reliably eat even when uncomfortable</t>
  </si>
  <si>
    <t>2: My sleep is disrupted but adequate</t>
  </si>
  <si>
    <t>Analytics - Playback Speed Changed: set to 2x at 0:15</t>
  </si>
  <si>
    <t>Analytics - Viewer Left Session: watched up to 1:42 (2% total progress)</t>
  </si>
  <si>
    <t>3: I maintain clear, disciplined decision-making</t>
  </si>
  <si>
    <t xml:space="preserve">Lobuche Peak , general endurance improvement </t>
  </si>
  <si>
    <t>3: I remain emotionally steady and adaptive</t>
  </si>
  <si>
    <t>Analytics - Engagement Drop-off: reached 40% (25:04)</t>
  </si>
  <si>
    <t>Analytics - Engagement Drop-off: reached 50% (31:47)</t>
  </si>
  <si>
    <t>Barb</t>
  </si>
  <si>
    <t>barbgedwards@gmail.com</t>
  </si>
  <si>
    <t>Analytics - Engagement Drop-off: reached 60% (37:47)</t>
  </si>
  <si>
    <t>Analytics - Engagement Drop-off: reached 80% (47:48)</t>
  </si>
  <si>
    <t>Manaslu Circuit in November, 2026</t>
  </si>
  <si>
    <t>3: Frequently and deliberately</t>
  </si>
  <si>
    <t>Analytics - Playback Speed Changed: set to 1.5x at 56:44</t>
  </si>
  <si>
    <t>2: Several trips of 5–10 days</t>
  </si>
  <si>
    <t>1: One or more climbs to 4000 - 4900 m (13–16,000 ft) with limited acclimatization (rapid ascent or single-day exposure)</t>
  </si>
  <si>
    <t>JAMES</t>
  </si>
  <si>
    <t>jsoyka1@att.net</t>
  </si>
  <si>
    <t>0: I struggle to maintain steady effort beyond 60 minutes</t>
  </si>
  <si>
    <t>Analytics - Viewer Left Session: watched up to 6:48 (11% total progress)</t>
  </si>
  <si>
    <t>Joe</t>
  </si>
  <si>
    <t>Hayden</t>
  </si>
  <si>
    <t>ljhaydn@gmail.com</t>
  </si>
  <si>
    <t>general fitness</t>
  </si>
  <si>
    <t>Manaslu Circuit, November 2026</t>
  </si>
  <si>
    <t>Analytics - Engagement Drop-off: reached 80% (47:46)</t>
  </si>
  <si>
    <t>Stewart Hiatt</t>
  </si>
  <si>
    <t>stewhiatt@gmail.com</t>
  </si>
  <si>
    <t>Analytics - Playback Speed Changed: set to 2x at 0:05</t>
  </si>
  <si>
    <t xml:space="preserve">Analytics - </t>
  </si>
  <si>
    <t>Analytics - Viewer Left Session: watched up to 0:45 (1% total progress)</t>
  </si>
  <si>
    <t>Analytics - Playback Speed Changed: set to 2x at 0:08</t>
  </si>
  <si>
    <t xml:space="preserve">Everest Base camp </t>
  </si>
  <si>
    <t>Fair</t>
  </si>
  <si>
    <t>Acclimatizing</t>
  </si>
  <si>
    <t>Analytics - Playback Speed Changed: set to 1x at 0:58</t>
  </si>
  <si>
    <t>Analytics - Viewer Left Session: watched up to 1:13 (2% total progress)</t>
  </si>
  <si>
    <t>mpmonin26@aol.com</t>
  </si>
  <si>
    <t>Training Start Date</t>
  </si>
  <si>
    <t>Analytics - Viewer Left Session: watched up to 0:03 (0% total progress)</t>
  </si>
  <si>
    <t>Peak Event Date</t>
  </si>
  <si>
    <t>Analytics - Viewer Left Session: watched up to 0:02 (0% total progress)</t>
  </si>
  <si>
    <t>Workbook Link</t>
  </si>
  <si>
    <t>Analytics - Playback Speed Changed: set to 1.25x at 0:00</t>
  </si>
  <si>
    <t>13/03/26</t>
  </si>
  <si>
    <t>24/05/26</t>
  </si>
  <si>
    <t>Tracy</t>
  </si>
  <si>
    <t>10-Week Program</t>
  </si>
  <si>
    <t>Mt Rainier end of July</t>
  </si>
  <si>
    <t>Penrose</t>
  </si>
  <si>
    <t>penrose815@gmail.com</t>
  </si>
  <si>
    <t>To hike 1 mile in Alaska rainforest</t>
  </si>
  <si>
    <t>17/03/26</t>
  </si>
  <si>
    <t>20/06/26</t>
  </si>
  <si>
    <t>13-Week Program</t>
  </si>
  <si>
    <t>Ozzy</t>
  </si>
  <si>
    <t>ozzg1@yahoo.com</t>
  </si>
  <si>
    <t>19/03/26</t>
  </si>
  <si>
    <t>20/05/26</t>
  </si>
  <si>
    <t>9-Week Program</t>
  </si>
  <si>
    <t>21/03/26</t>
  </si>
  <si>
    <t>30/12/27</t>
  </si>
  <si>
    <t>93-Week Program</t>
  </si>
  <si>
    <t>Run an ultra race at altitude</t>
  </si>
  <si>
    <t>My goal is to do the Leadville Marathon.</t>
  </si>
  <si>
    <t>18/07/26</t>
  </si>
  <si>
    <t>17-Week Program</t>
  </si>
  <si>
    <t>Andrea Burns</t>
  </si>
  <si>
    <t>01/12/27</t>
  </si>
  <si>
    <t>andrea_hill84@hotmail.com</t>
  </si>
  <si>
    <t>88-Week Program</t>
  </si>
  <si>
    <t>24/03/26</t>
  </si>
  <si>
    <t>04/10/26</t>
  </si>
  <si>
    <t>Zone 1, horizontal movement, shoulders = no movement</t>
  </si>
  <si>
    <t>27-Week Program</t>
  </si>
  <si>
    <t>Carl</t>
  </si>
  <si>
    <t xml:space="preserve">Lorubbio </t>
  </si>
  <si>
    <t>25/03/26</t>
  </si>
  <si>
    <t>Lobuche East in November 2026</t>
  </si>
  <si>
    <t>clorubbio@aol.com</t>
  </si>
  <si>
    <t>25/08/26</t>
  </si>
  <si>
    <t>Not training at this time</t>
  </si>
  <si>
    <t>22-Week Program</t>
  </si>
  <si>
    <t>01/04/26</t>
  </si>
  <si>
    <t>29/07/26</t>
  </si>
  <si>
    <t>05/04/26</t>
  </si>
  <si>
    <t>01/11/26</t>
  </si>
  <si>
    <t>30-Week Program</t>
  </si>
  <si>
    <t>mpmonin@aol.com</t>
  </si>
  <si>
    <t>06/04/26</t>
  </si>
  <si>
    <t>Zone 1 and 360° circumferential movement</t>
  </si>
  <si>
    <t>16-Week Program</t>
  </si>
  <si>
    <t>09/04/26</t>
  </si>
  <si>
    <t>30/09/26</t>
  </si>
  <si>
    <t>Good</t>
  </si>
  <si>
    <t>Summit-Approaching</t>
  </si>
  <si>
    <t>13/04/26</t>
  </si>
  <si>
    <t>27/06/26</t>
  </si>
  <si>
    <t>16/04/26</t>
  </si>
  <si>
    <t>27/04/26</t>
  </si>
  <si>
    <t>8-Week Program</t>
  </si>
  <si>
    <t>Leadville Marathon June 27</t>
  </si>
  <si>
    <t>not dying</t>
  </si>
  <si>
    <t>chet.rathod@gmail.com</t>
  </si>
  <si>
    <t>02/05/26</t>
  </si>
  <si>
    <t>Zone 3 only, Vertical movement</t>
  </si>
  <si>
    <t>13/07/26</t>
  </si>
  <si>
    <t>Chet Rathod</t>
  </si>
  <si>
    <t>14/05/26</t>
  </si>
  <si>
    <t>12/10/26</t>
  </si>
  <si>
    <t>21/05/26</t>
  </si>
  <si>
    <t>17/10/26</t>
  </si>
  <si>
    <t>My Rainier on Jul 13th</t>
  </si>
  <si>
    <t>16/06/26</t>
  </si>
  <si>
    <t>Chet</t>
  </si>
  <si>
    <t>05/10/26</t>
  </si>
  <si>
    <t>Sara</t>
  </si>
  <si>
    <t>Crawford</t>
  </si>
  <si>
    <t>sara.crawford95@yahoo.com</t>
  </si>
  <si>
    <t>General hiking fitness</t>
  </si>
  <si>
    <t xml:space="preserve">Mt Rainier on 13th July </t>
  </si>
  <si>
    <t>Coming off of Aconcagua climb where reached 21,500 and forced to turn around due to weather. But felt out of breath and the work of breathing was causing respiratory muscle fatigue and pain during uphills. But I am going to Climb Carstesnz Pyramid in October 2026 and then plan to go back to Aconcagua in January 2027</t>
  </si>
  <si>
    <t>2025-10-09T23:00:29.769Z</t>
  </si>
  <si>
    <t>Benoit</t>
  </si>
  <si>
    <t>Vander Steen</t>
  </si>
  <si>
    <t>benoit.vandersteen@gmail.com</t>
  </si>
  <si>
    <t>2025-10-09T23:28:26.723Z</t>
  </si>
  <si>
    <t>emilie</t>
  </si>
  <si>
    <t>drinkwater</t>
  </si>
  <si>
    <t>emiliedrinkwater@yahoo.com</t>
  </si>
  <si>
    <t>2025-10-10T08:50:53.698Z</t>
  </si>
  <si>
    <t>Nina</t>
  </si>
  <si>
    <t>Ostasz</t>
  </si>
  <si>
    <t>n.ostasz@gmail.com</t>
  </si>
  <si>
    <t>2025-10-10T10:14:11.169Z</t>
  </si>
  <si>
    <t>2025-10-10T21:30:40.391Z</t>
  </si>
  <si>
    <t>Zoe</t>
  </si>
  <si>
    <t>Brian</t>
  </si>
  <si>
    <t>Nance</t>
  </si>
  <si>
    <t>zoe@zoefitness.com</t>
  </si>
  <si>
    <t>2025-10-10T21:30:54.022Z</t>
  </si>
  <si>
    <t>Passenti</t>
  </si>
  <si>
    <t>brian@altitudeendurancecoaching.com</t>
  </si>
  <si>
    <t>2025-10-13T13:59:03.598Z</t>
  </si>
  <si>
    <t>Simon</t>
  </si>
  <si>
    <t>le maistre</t>
  </si>
  <si>
    <t>Life! and a few ultras...</t>
  </si>
  <si>
    <t>simonlemaistre@gmail.com</t>
  </si>
  <si>
    <t>2025-10-13T14:54:28.678Z</t>
  </si>
  <si>
    <t>simon</t>
  </si>
  <si>
    <t>Lem</t>
  </si>
  <si>
    <t>simon.lemaistre@mytutor.co.uk</t>
  </si>
  <si>
    <t>2025-10-13T19:02:16.133Z</t>
  </si>
  <si>
    <t>Tim</t>
  </si>
  <si>
    <t>Fennell</t>
  </si>
  <si>
    <t>tjf110@verizon.net</t>
  </si>
  <si>
    <t>2025-10-14T02:07:42.649Z</t>
  </si>
  <si>
    <t>Stewart</t>
  </si>
  <si>
    <t>Zone 1, Horizontal movement, Shoulders = no movement</t>
  </si>
  <si>
    <t>Hiatt</t>
  </si>
  <si>
    <t>2025-10-15T10:32:59.648Z</t>
  </si>
  <si>
    <t>Jan</t>
  </si>
  <si>
    <t>Lamka</t>
  </si>
  <si>
    <t>jan@lamka.cz</t>
  </si>
  <si>
    <t>2025-10-15T19:03:19.362Z</t>
  </si>
  <si>
    <t>Maciej</t>
  </si>
  <si>
    <t>Dave Taylor</t>
  </si>
  <si>
    <t>Nowakowski</t>
  </si>
  <si>
    <t>maciej@es-ab.se</t>
  </si>
  <si>
    <t>david.s.taylor72@Gmail.com</t>
  </si>
  <si>
    <t>2025-10-30T19:31:19.771Z</t>
  </si>
  <si>
    <t>Hickman</t>
  </si>
  <si>
    <t>donphickman@gmail.com</t>
  </si>
  <si>
    <t>2025-10-30T19:36:51.801Z</t>
  </si>
  <si>
    <t xml:space="preserve">Victoria </t>
  </si>
  <si>
    <t xml:space="preserve">Gibson </t>
  </si>
  <si>
    <t>vikki_my@hotmail.com</t>
  </si>
  <si>
    <t>2025-10-30T20:03:49.974Z</t>
  </si>
  <si>
    <t>CLAUDE</t>
  </si>
  <si>
    <t>MARQUIS</t>
  </si>
  <si>
    <t>claudemarquis@gmail.com</t>
  </si>
  <si>
    <t>2025-10-30T22:51:40.082Z</t>
  </si>
  <si>
    <t>Pavle Luger</t>
  </si>
  <si>
    <t>Luger</t>
  </si>
  <si>
    <t>plugercoaching@gmail.com</t>
  </si>
  <si>
    <t>2025-10-31T08:29:22.026Z</t>
  </si>
  <si>
    <t>Sasi</t>
  </si>
  <si>
    <t>Golla</t>
  </si>
  <si>
    <t>g.shashivadana@gmail.com</t>
  </si>
  <si>
    <t>2025-11-03T13:49:33.960Z</t>
  </si>
  <si>
    <t>Annette</t>
  </si>
  <si>
    <t>Husick</t>
  </si>
  <si>
    <t>annette.husick@sunbeltrentals.com</t>
  </si>
  <si>
    <t xml:space="preserve">Kilimanjaro : July </t>
  </si>
  <si>
    <t>2025-11-04T12:44:47.377Z</t>
  </si>
  <si>
    <t>annette</t>
  </si>
  <si>
    <t>husick</t>
  </si>
  <si>
    <t>2025-11-06T17:16:15.434Z</t>
  </si>
  <si>
    <t>2025-11-06T19:06:02.297Z</t>
  </si>
  <si>
    <t>Alecia</t>
  </si>
  <si>
    <t>info@breatheandbelieve.com</t>
  </si>
  <si>
    <t>2025-11-06T22:07:30.657Z</t>
  </si>
  <si>
    <t>Maggie</t>
  </si>
  <si>
    <t>Kirchhoff</t>
  </si>
  <si>
    <t>James Soyka</t>
  </si>
  <si>
    <t>maggiekirchhoff@gmail.com</t>
  </si>
  <si>
    <t>2025-11-13T15:31:40.499Z</t>
  </si>
  <si>
    <t>Matt</t>
  </si>
  <si>
    <t>Cichocki</t>
  </si>
  <si>
    <t>cichockioutdoors@gmail.com</t>
  </si>
  <si>
    <t>2025-11-13T23:11:52.694Z</t>
  </si>
  <si>
    <t>DAVID</t>
  </si>
  <si>
    <t>DEPPELER</t>
  </si>
  <si>
    <t>DAVID@BREATHEYOURTRUTH.COM</t>
  </si>
  <si>
    <t>2025-11-13T23:47:13.357Z</t>
  </si>
  <si>
    <t>Steve</t>
  </si>
  <si>
    <t>Billig</t>
  </si>
  <si>
    <t>stevebillig@gmail.com</t>
  </si>
  <si>
    <t>McIver</t>
  </si>
  <si>
    <t>2025-11-14T00:11:37.439Z</t>
  </si>
  <si>
    <t>marc</t>
  </si>
  <si>
    <t>BOWLES</t>
  </si>
  <si>
    <t>marc@globalcoach.ca</t>
  </si>
  <si>
    <t>katelmciver@gmail.com</t>
  </si>
  <si>
    <t>2025-11-14T03:20:51.728Z</t>
  </si>
  <si>
    <t xml:space="preserve">Give birth 🤣 wonder how different these would have been before I was 5 months pregnant. </t>
  </si>
  <si>
    <t>Anup</t>
  </si>
  <si>
    <t>Pokhrel</t>
  </si>
  <si>
    <t>anupok@gmail.com</t>
  </si>
  <si>
    <t>2025-11-17T14:52:48.190Z</t>
  </si>
  <si>
    <t>Gaël</t>
  </si>
  <si>
    <t>WASSMER</t>
  </si>
  <si>
    <t>gael.wassmer@gmail.com</t>
  </si>
  <si>
    <t>2025-11-20T17:15:20.156Z</t>
  </si>
  <si>
    <t>David</t>
  </si>
  <si>
    <t>Chamblee</t>
  </si>
  <si>
    <t>jdchamblee@yahoo.com</t>
  </si>
  <si>
    <t>Climb Kilimanjaro</t>
  </si>
  <si>
    <t>2025-11-21T13:24:32.920Z</t>
  </si>
  <si>
    <t xml:space="preserve">Lorna </t>
  </si>
  <si>
    <t>Graham</t>
  </si>
  <si>
    <t>lorna76graham@yahoo.co.uk</t>
  </si>
  <si>
    <t>Great</t>
  </si>
  <si>
    <t>2025-11-21T14:32:30.126Z</t>
  </si>
  <si>
    <t>Summit-Ready</t>
  </si>
  <si>
    <t>2025-11-22T04:03:20.925Z</t>
  </si>
  <si>
    <t>Saransh</t>
  </si>
  <si>
    <t>Gupta</t>
  </si>
  <si>
    <t>saranshgupta92@gmail.com</t>
  </si>
  <si>
    <t>2025-11-22T05:21:47.863Z</t>
  </si>
  <si>
    <t>Rye</t>
  </si>
  <si>
    <t>Simonett</t>
  </si>
  <si>
    <t>rye.simonett@gmail.com</t>
  </si>
  <si>
    <t>2025-11-23T00:08:37.776Z</t>
  </si>
  <si>
    <t>Z</t>
  </si>
  <si>
    <t>D</t>
  </si>
  <si>
    <t>honeytiger4321@gmail.com</t>
  </si>
  <si>
    <t>2025-11-23T03:37:39.755Z</t>
  </si>
  <si>
    <t>Guy</t>
  </si>
  <si>
    <t>Merin</t>
  </si>
  <si>
    <t>guy_merin@outlook.com</t>
  </si>
  <si>
    <t>2025-11-24T06:07:21.177Z</t>
  </si>
  <si>
    <t>2025-11-24T16:24:45.900Z</t>
  </si>
  <si>
    <t>Larry</t>
  </si>
  <si>
    <t>Goldie</t>
  </si>
  <si>
    <t>larry@ncmountainguides.com</t>
  </si>
  <si>
    <t>2025-11-25T11:49:16.111Z</t>
  </si>
  <si>
    <t>2025-11-25T21:54:55.573Z</t>
  </si>
  <si>
    <t>Dahl</t>
  </si>
  <si>
    <t>jeffreycdahl@msn.com</t>
  </si>
  <si>
    <t>2025-11-28T23:04:01.745Z</t>
  </si>
  <si>
    <t>Thomas</t>
  </si>
  <si>
    <t>Roman</t>
  </si>
  <si>
    <t>thomroman@gmail.com</t>
  </si>
  <si>
    <t>2025-12-01T12:25:03.736Z</t>
  </si>
  <si>
    <t>Adam</t>
  </si>
  <si>
    <t>Beardsworth</t>
  </si>
  <si>
    <t>beards001@gmail.com</t>
  </si>
  <si>
    <t>2025-12-01T12:29:41.731Z</t>
  </si>
  <si>
    <t>2025-12-01T19:02:54.023Z</t>
  </si>
  <si>
    <t>Pedro</t>
  </si>
  <si>
    <t>Lorubbio</t>
  </si>
  <si>
    <t>anthony@recaltravel.com</t>
  </si>
  <si>
    <t>Kroeff</t>
  </si>
  <si>
    <t>Darlene</t>
  </si>
  <si>
    <t>2025-12-01T22:34:49.864Z</t>
  </si>
  <si>
    <t>liza</t>
  </si>
  <si>
    <t>pedroakroeff@gmail.com</t>
  </si>
  <si>
    <t>provenzano</t>
  </si>
  <si>
    <t>lightwk@gmail.com</t>
  </si>
  <si>
    <t>maximize the time i can beat 20 year olds in pickup hoops</t>
  </si>
  <si>
    <t>liza@sparkworksleadership.ca</t>
  </si>
  <si>
    <t>2025-12-03T20:01:34.639Z</t>
  </si>
  <si>
    <t>Madhan</t>
  </si>
  <si>
    <t>Prasad</t>
  </si>
  <si>
    <t>2025-12-05T13:54:39.972Z</t>
  </si>
  <si>
    <t>2025-12-05T20:06:17.355Z</t>
  </si>
  <si>
    <t>Jacques</t>
  </si>
  <si>
    <t>Chirazi</t>
  </si>
  <si>
    <t>jchirazi@gmail.com</t>
  </si>
  <si>
    <t>2025-12-09T19:24:30.151Z</t>
  </si>
  <si>
    <t xml:space="preserve">Spiteller </t>
  </si>
  <si>
    <t>spiteller.michael@gmail.com</t>
  </si>
  <si>
    <t>2025-12-10T01:19:27.402Z</t>
  </si>
  <si>
    <t>allen</t>
  </si>
  <si>
    <t>krabill</t>
  </si>
  <si>
    <t>lifeartistproject@gmail.com</t>
  </si>
  <si>
    <t>2025-12-10T02:04:44.818Z</t>
  </si>
  <si>
    <t>Jana</t>
  </si>
  <si>
    <t>Yuen</t>
  </si>
  <si>
    <t>anajay1983@outlook.com</t>
  </si>
  <si>
    <t>2025-12-11T05:14:42.081Z</t>
  </si>
  <si>
    <t>tite</t>
  </si>
  <si>
    <t>togni</t>
  </si>
  <si>
    <t>Hiking/trekking in general</t>
  </si>
  <si>
    <t>titetogni@gmail.com</t>
  </si>
  <si>
    <t>2025-12-11T09:26:39.329Z</t>
  </si>
  <si>
    <t>C</t>
  </si>
  <si>
    <t>bertothy</t>
  </si>
  <si>
    <t>Hiking local peaks in Utah and wyoming</t>
  </si>
  <si>
    <t>jbertothy1@comcasr.net</t>
  </si>
  <si>
    <t>2025-12-15T12:43:39.636Z</t>
  </si>
  <si>
    <t>2025-12-19T11:59:22.753Z</t>
  </si>
  <si>
    <t>Martin</t>
  </si>
  <si>
    <t xml:space="preserve">Kysel </t>
  </si>
  <si>
    <t>martin@martinkysel.com</t>
  </si>
  <si>
    <t>2025-12-19T16:45:23.107Z</t>
  </si>
  <si>
    <t>Renato</t>
  </si>
  <si>
    <t>Klimeck</t>
  </si>
  <si>
    <t>renato@hopkins.media</t>
  </si>
  <si>
    <t>2025-12-19T16:57:31.034Z</t>
  </si>
  <si>
    <t>Renato 2</t>
  </si>
  <si>
    <t>renato+12@hopkins.media</t>
  </si>
  <si>
    <t>2025-12-19T20:09:54.498Z</t>
  </si>
  <si>
    <t>Hopkins</t>
  </si>
  <si>
    <t>jacques@theonlinecourseguy.com</t>
  </si>
  <si>
    <t>2025-12-20T23:16:43.443Z</t>
  </si>
  <si>
    <t>Agnes</t>
  </si>
  <si>
    <t>Bureau</t>
  </si>
  <si>
    <t>agbu0838@gmail.com</t>
  </si>
  <si>
    <t>2025-12-27T15:10:34.360Z</t>
  </si>
  <si>
    <t>2025-12-29T10:40:13.210Z</t>
  </si>
  <si>
    <t>2025-12-29T10:49:07.414Z</t>
  </si>
  <si>
    <t>2025-12-29T10:50:32.822Z</t>
  </si>
  <si>
    <t>Owen</t>
  </si>
  <si>
    <t>Parker</t>
  </si>
  <si>
    <t>2025-12-29T10:56:01.642Z</t>
  </si>
  <si>
    <t>daniel.owen.parker@gmail.com</t>
  </si>
  <si>
    <t>half marathon in 10mnths</t>
  </si>
  <si>
    <t>2025-12-29T11:55:39.871Z</t>
  </si>
  <si>
    <t>AD</t>
  </si>
  <si>
    <t>Sharun</t>
  </si>
  <si>
    <t>adsharun@gmail.com</t>
  </si>
  <si>
    <t>2025-12-29T12:35:48.966Z</t>
  </si>
  <si>
    <t>2025-12-29T13:25:49.378Z</t>
  </si>
  <si>
    <t>Kysel</t>
  </si>
  <si>
    <t>2025-12-29T18:43:20.374Z</t>
  </si>
  <si>
    <t>Mansalu Circuit November, 2026</t>
  </si>
  <si>
    <t>2025-12-29T20:01:05.674Z</t>
  </si>
  <si>
    <t>2025-12-29T20:26:57.015Z</t>
  </si>
  <si>
    <t>2025-12-29T20:32:56.305Z</t>
  </si>
  <si>
    <t>Madz</t>
  </si>
  <si>
    <t>Test</t>
  </si>
  <si>
    <t>madz@test.com</t>
  </si>
  <si>
    <t>2025-12-29T20:39:41.810Z</t>
  </si>
  <si>
    <t>2025-12-29T20:54:28.534Z</t>
  </si>
  <si>
    <t>2025-12-29T23:25:32.595Z</t>
  </si>
  <si>
    <t>alorubbi@gmail.com</t>
  </si>
  <si>
    <t>2025-12-30T14:10:22.034Z</t>
  </si>
  <si>
    <t>2025-12-30T14:12:51.366Z</t>
  </si>
  <si>
    <t>anthony@123gmail.com</t>
  </si>
  <si>
    <t>2025-12-30T23:44:47.018Z</t>
  </si>
  <si>
    <t>2026-01-04T05:57:07.216Z</t>
  </si>
  <si>
    <t>Shaw</t>
  </si>
  <si>
    <t>2026-01-05T23:39:07.274Z</t>
  </si>
  <si>
    <t>TC</t>
  </si>
  <si>
    <t>Houston</t>
  </si>
  <si>
    <t>chaplain.t.houston@gmail.com</t>
  </si>
  <si>
    <t>2026-01-06T16:01:24.949Z</t>
  </si>
  <si>
    <t>Colin</t>
  </si>
  <si>
    <t>Adonica</t>
  </si>
  <si>
    <t>Wada</t>
  </si>
  <si>
    <t>adonicaw@gmail.com</t>
  </si>
  <si>
    <t>2026-01-07T21:52:22.894Z</t>
  </si>
  <si>
    <t>Colinvmciver@gmail.com</t>
  </si>
  <si>
    <t>claude</t>
  </si>
  <si>
    <t>marquis</t>
  </si>
  <si>
    <t>Colin says no goals…plenty awesome as is</t>
  </si>
  <si>
    <t>Mansalu Circuit, November 2026</t>
  </si>
  <si>
    <t>2026-01-09T17:46:42.450Z</t>
  </si>
  <si>
    <t>Alex</t>
  </si>
  <si>
    <t>Pirnie</t>
  </si>
  <si>
    <t>atpirnie@gmail.com</t>
  </si>
  <si>
    <t>2026-01-12T13:13:06.208Z</t>
  </si>
  <si>
    <t/>
  </si>
  <si>
    <t>2026-01-12T14:18:52.920Z</t>
  </si>
  <si>
    <t>Madhan Prasad Prabhakaran</t>
  </si>
  <si>
    <t>2026-01-14T17:14:02.062Z</t>
  </si>
  <si>
    <t>Christopher Jermyn</t>
  </si>
  <si>
    <t>cmjermyn@gmail.com</t>
  </si>
  <si>
    <t>2026-01-15T21:50:41.536Z</t>
  </si>
  <si>
    <t>anthony@recaltraining.com</t>
  </si>
  <si>
    <t>Miles Lukas</t>
  </si>
  <si>
    <t>mileslukas@gmail.com</t>
  </si>
  <si>
    <t>2026-01-16T02:41:44.000Z</t>
  </si>
  <si>
    <t>Ilsa</t>
  </si>
  <si>
    <t>ilsa.jule@gmail.com</t>
  </si>
  <si>
    <t>2026-01-16T03:35:30.757Z</t>
  </si>
  <si>
    <t xml:space="preserve">Richard  Bassman </t>
  </si>
  <si>
    <t>richard.bassman@yahoo.com</t>
  </si>
  <si>
    <t>2026-01-18T14:15:16.546Z</t>
  </si>
  <si>
    <t>Osvaldo Villarreal</t>
  </si>
  <si>
    <t>2026-01-19T21:37:02.794Z</t>
  </si>
  <si>
    <t>Glenn Wilson</t>
  </si>
  <si>
    <t>glennwilson500@gmail.com</t>
  </si>
  <si>
    <t>2026-01-20T14:04:52.471Z</t>
  </si>
  <si>
    <t>2026-01-20T14:08:02.110Z</t>
  </si>
  <si>
    <t>2026-01-20T14:15:20.910Z</t>
  </si>
  <si>
    <t>2026-01-20T14:46:05.326Z</t>
  </si>
  <si>
    <t>assessment</t>
  </si>
  <si>
    <t>Kili in July</t>
  </si>
  <si>
    <t>2026-01-20T15:29:24.039Z</t>
  </si>
  <si>
    <t>Mariana</t>
  </si>
  <si>
    <t>test</t>
  </si>
  <si>
    <t>test@ghl.com</t>
  </si>
  <si>
    <t>2026-01-21T13:47:24.425Z</t>
  </si>
  <si>
    <t>john</t>
  </si>
  <si>
    <t>marianabshaw@gmail.com</t>
  </si>
  <si>
    <t>Ultra</t>
  </si>
  <si>
    <t xml:space="preserve">Definitely to climb without feeling out of breath </t>
  </si>
  <si>
    <t>2026-01-21T14:19:05.043Z</t>
  </si>
  <si>
    <t>Everest-Ready</t>
  </si>
  <si>
    <t>2026-01-22T16:04:51.153Z</t>
  </si>
  <si>
    <t>GHL</t>
  </si>
  <si>
    <t>2026-01-22T16:21:42.164Z</t>
  </si>
  <si>
    <t>Zone 3, some Zone 2, Shoulder movement apparent</t>
  </si>
  <si>
    <t>2026-01-22T17:49:08.004Z</t>
  </si>
  <si>
    <t>2026-01-23T13:39:02.357Z</t>
  </si>
  <si>
    <t>madhanprasad@protonmail.com</t>
  </si>
  <si>
    <t>2026-01-23T15:39:03.133Z</t>
  </si>
  <si>
    <t>2026-01-25T00:37:00.079Z</t>
  </si>
  <si>
    <t>Guillermina Calles</t>
  </si>
  <si>
    <t>guillecalles@gmail.com</t>
  </si>
  <si>
    <t>2026-01-26T00:23:33.623Z</t>
  </si>
  <si>
    <t>LW</t>
  </si>
  <si>
    <t>lnwhite@gmail.com</t>
  </si>
  <si>
    <t>2026-01-28T20:47:58.427Z</t>
  </si>
  <si>
    <t>Dai Jones</t>
  </si>
  <si>
    <t>daijones13@gmail.com</t>
  </si>
  <si>
    <t>2026-02-05T09:58:44.801Z</t>
  </si>
  <si>
    <t>pvkar</t>
  </si>
  <si>
    <t>pvg807@gmail.com</t>
  </si>
  <si>
    <t>2026-02-10T17:01:17.345Z</t>
  </si>
  <si>
    <t>test2@test.com</t>
  </si>
  <si>
    <t>2026-02-10T17:15:10.978Z</t>
  </si>
  <si>
    <t>madhan prasad</t>
  </si>
  <si>
    <t>2026-02-10T17:28:02.740Z</t>
  </si>
  <si>
    <t>2026-02-10T17:45:11.691Z</t>
  </si>
  <si>
    <t>2026-02-10T21:24:46.724Z</t>
  </si>
  <si>
    <t>2026-02-10T21:50:27.420Z</t>
  </si>
  <si>
    <t>2026-02-11T20:22:06.086Z</t>
  </si>
  <si>
    <t>Alexandra</t>
  </si>
  <si>
    <t>xandi.dec@web.de</t>
  </si>
  <si>
    <t>2026-02-11T20:24:04.473Z</t>
  </si>
  <si>
    <t>Aybuke</t>
  </si>
  <si>
    <t>prabhu@test.co</t>
  </si>
  <si>
    <t>Turker</t>
  </si>
  <si>
    <t>2026-02-11T20:33:42.219Z</t>
  </si>
  <si>
    <t>Jackie Chan</t>
  </si>
  <si>
    <t>prabhu@test2.com</t>
  </si>
  <si>
    <t>aybketrker@gmail.com</t>
  </si>
  <si>
    <t>2026-02-11T21:57:50.139Z</t>
  </si>
  <si>
    <t>Quinn McCutchen</t>
  </si>
  <si>
    <t>climb at high altitue without feeling out-of-breath</t>
  </si>
  <si>
    <t>mccutcq@netscape.net</t>
  </si>
  <si>
    <t>2026-02-12T00:22:09.894Z</t>
  </si>
  <si>
    <t>2026-02-13T03:28:08.658Z</t>
  </si>
  <si>
    <t>2026-02-13T03:35:50.286Z</t>
  </si>
  <si>
    <t>Madhu</t>
  </si>
  <si>
    <t>2026-02-13T03:43:38.283Z</t>
  </si>
  <si>
    <t>Madzillano</t>
  </si>
  <si>
    <t>2026-02-15T11:17:10.968Z</t>
  </si>
  <si>
    <t xml:space="preserve">Dr Smriti </t>
  </si>
  <si>
    <t>smritigondi@gmail.com</t>
  </si>
  <si>
    <t>2026-02-16T23:21:51.983Z</t>
  </si>
  <si>
    <t>Grace H Lee</t>
  </si>
  <si>
    <t>gleedds@gmail.com</t>
  </si>
  <si>
    <t>2026-02-23T19:52:06.225Z</t>
  </si>
  <si>
    <t>larry9x@msn.com</t>
  </si>
  <si>
    <t>2026-02-28T01:04:22.655Z</t>
  </si>
  <si>
    <t>Wayne Heinz</t>
  </si>
  <si>
    <t>w.t.heinz@gmail.com</t>
  </si>
  <si>
    <t>2026-03-05T17:21:45.669Z</t>
  </si>
  <si>
    <t>Iv</t>
  </si>
  <si>
    <t>mitevivoovi@gmail.com</t>
  </si>
  <si>
    <t>2026-03-11T00:16:55.545Z</t>
  </si>
  <si>
    <t>Jeffrey Beck</t>
  </si>
  <si>
    <t>jbeck@swlaw.com</t>
  </si>
  <si>
    <t>2026-03-11T16:39:07.742Z</t>
  </si>
  <si>
    <t>Denise Teahon</t>
  </si>
  <si>
    <t>teahon.denise@gmail.com</t>
  </si>
  <si>
    <t>2026-03-12T17:30:30.016Z</t>
  </si>
  <si>
    <t>Russel Karbley</t>
  </si>
  <si>
    <t>rkarbley@comcast.net</t>
  </si>
  <si>
    <t>2026-03-12T19:38:23.698Z</t>
  </si>
  <si>
    <t>2026-03-12T22:19:53.958Z</t>
  </si>
  <si>
    <t>2026-03-12T23:21:55.087Z</t>
  </si>
  <si>
    <t>Caleb Gardner</t>
  </si>
  <si>
    <t>thecalebgardner@gmail.com</t>
  </si>
  <si>
    <t>2026-03-13T02:47:34.381Z</t>
  </si>
  <si>
    <t>Alan</t>
  </si>
  <si>
    <t>2026-03-14T00:12:46.845Z</t>
  </si>
  <si>
    <t>Stephanie</t>
  </si>
  <si>
    <t>Greenberg</t>
  </si>
  <si>
    <t>smmiskell@gmail.com</t>
  </si>
  <si>
    <t>greenbergsherpa@mac.com</t>
  </si>
  <si>
    <t>2026-03-15T06:04:20.141Z</t>
  </si>
  <si>
    <t>Laurel Anderson</t>
  </si>
  <si>
    <t>Ski moguls</t>
  </si>
  <si>
    <t>quantum.mechanic.laurel@gmail.com</t>
  </si>
  <si>
    <t>2026-03-15T21:26:44.424Z</t>
  </si>
  <si>
    <t>ZacM</t>
  </si>
  <si>
    <t>zachariamyers@gmail.com</t>
  </si>
  <si>
    <t>2026-03-16T16:51:33.731Z</t>
  </si>
  <si>
    <t>2026-03-16T19:20:54.783Z</t>
  </si>
  <si>
    <t>Galina Yordanova</t>
  </si>
  <si>
    <t>g_yordanova@yahoo.com</t>
  </si>
  <si>
    <t>2026-03-18T16:33:07.794Z</t>
  </si>
  <si>
    <t>2026-03-18T20:43:33.336Z</t>
  </si>
  <si>
    <t>ajkozol1@gmail.com</t>
  </si>
  <si>
    <t>2026-03-19T11:08:47.383Z</t>
  </si>
  <si>
    <t>Xuan Jia</t>
  </si>
  <si>
    <t>xuanjialua@gmail.com</t>
  </si>
  <si>
    <t>2026-03-21T15:43:49.051Z</t>
  </si>
  <si>
    <t>2026-03-26T23:01:40.966Z</t>
  </si>
  <si>
    <t>Garrit Erickson</t>
  </si>
  <si>
    <t>garrit.erickson@gmail.com</t>
  </si>
  <si>
    <t>2026-03-28T16:24:48.746Z</t>
  </si>
  <si>
    <t>Glyn</t>
  </si>
  <si>
    <t>glyn@geefx.me</t>
  </si>
  <si>
    <t>2026-03-29T04:24:20.511Z</t>
  </si>
  <si>
    <t>Roland Muller</t>
  </si>
  <si>
    <t>roland.muller2517@gmail.com</t>
  </si>
  <si>
    <t>2026-03-29T04:37:26.465Z</t>
  </si>
  <si>
    <t>2026-03-29T04:46:00.204Z</t>
  </si>
  <si>
    <t>2026-04-09T11:11:01.622Z</t>
  </si>
  <si>
    <t>Priya</t>
  </si>
  <si>
    <t>amarapriya97@gmail.com</t>
  </si>
  <si>
    <t>2026-04-14T02:25:22.115Z</t>
  </si>
  <si>
    <t>Douglas Koffler</t>
  </si>
  <si>
    <t>dsk9999@gmail.com</t>
  </si>
  <si>
    <t>2026-04-14T16:12:07.681Z</t>
  </si>
  <si>
    <t>Guy Simoneau</t>
  </si>
  <si>
    <t>guygsimoneau@gmail.com</t>
  </si>
  <si>
    <t>2026-04-16T01:11:36.594Z</t>
  </si>
  <si>
    <t>Jamie</t>
  </si>
  <si>
    <t>Nicholas</t>
  </si>
  <si>
    <t>jsangster@y7mail.com</t>
  </si>
  <si>
    <t>2026-04-16T08:48:15.533Z</t>
  </si>
  <si>
    <t>Seema</t>
  </si>
  <si>
    <t>Fox</t>
  </si>
  <si>
    <t>seema6madan@gmail.com</t>
  </si>
  <si>
    <t>nick@foxfirebreathworks.com</t>
  </si>
  <si>
    <t>2026-04-20T20:39:40.537Z</t>
  </si>
  <si>
    <t>BQ!</t>
  </si>
  <si>
    <t>2026-04-22T20:21:41.500Z</t>
  </si>
  <si>
    <t>2026-04-25T17:15:32.131Z</t>
  </si>
  <si>
    <t>Charlie Hughes</t>
  </si>
  <si>
    <t>charliehughes1602@gmail.com</t>
  </si>
  <si>
    <t>2026-04-25T17:15:55.870Z</t>
  </si>
  <si>
    <t>Laura</t>
  </si>
  <si>
    <t>hughes8916@gmail.com</t>
  </si>
  <si>
    <t>2026-04-29T12:37:51.409Z</t>
  </si>
  <si>
    <t>sara.tunesi.5@gmail.com</t>
  </si>
  <si>
    <t>2026-04-30T07:28:58.636Z</t>
  </si>
  <si>
    <t>2026-05-01T08:10:36.072Z</t>
  </si>
  <si>
    <t>Tahsin Rahman</t>
  </si>
  <si>
    <t>43.tin_teak@icloud.com</t>
  </si>
  <si>
    <t>2026-05-02T17:06:54.805Z</t>
  </si>
  <si>
    <t>2026-05-04T18:52:27.082Z</t>
  </si>
  <si>
    <t>Will Weaver</t>
  </si>
  <si>
    <t>Will.weaver219@gmail.com</t>
  </si>
  <si>
    <t>2026-05-05T01:12:32.962Z</t>
  </si>
  <si>
    <t>Shawn Wentz</t>
  </si>
  <si>
    <t>shawngwentz@gmail.com</t>
  </si>
  <si>
    <t>2026-05-05T18:30:02.072Z</t>
  </si>
  <si>
    <t>Stephen Bell</t>
  </si>
  <si>
    <t>stephenjbell1@yahoo.com</t>
  </si>
  <si>
    <t>2026-05-07T02:43:02.790Z</t>
  </si>
  <si>
    <t>Neha</t>
  </si>
  <si>
    <t>neh.bharadwaj@gmail.com</t>
  </si>
  <si>
    <t>2026-05-08T08:36:27.995Z</t>
  </si>
  <si>
    <t>2026-05-08T20:12:48.313Z</t>
  </si>
  <si>
    <t>Susan</t>
  </si>
  <si>
    <t>sbsheppard61@gmail.com</t>
  </si>
  <si>
    <t>2026-05-11T21:34:00.898Z</t>
  </si>
  <si>
    <t xml:space="preserve">Sandra </t>
  </si>
  <si>
    <t>nyssa.wildfire@gmail.com</t>
  </si>
  <si>
    <t>2026-05-13T11:52:46.963Z</t>
  </si>
  <si>
    <t>2026-05-13T13:30:47.510Z</t>
  </si>
  <si>
    <t>2026-05-15T15:22:49.736Z</t>
  </si>
  <si>
    <t>Vijay</t>
  </si>
  <si>
    <t>2026-05-19T22:01:40.991Z</t>
  </si>
  <si>
    <t>Ani</t>
  </si>
  <si>
    <t>akacprzak@adhb.govt.nz</t>
  </si>
  <si>
    <t>2026-05-21T00:24:06.199Z</t>
  </si>
  <si>
    <t xml:space="preserve">Kevin </t>
  </si>
  <si>
    <t>2026-05-23T14:20:30.390Z</t>
  </si>
  <si>
    <t>NILAM DESAI</t>
  </si>
  <si>
    <t>Adler</t>
  </si>
  <si>
    <t>drnilamdesai@hotmail.com</t>
  </si>
  <si>
    <t>Kevin@thealtitudegroupinc.com</t>
  </si>
  <si>
    <t>2026-05-25T06:26:19.389Z</t>
  </si>
  <si>
    <t>2026-05-27T11:17:22.727Z</t>
  </si>
  <si>
    <t>Sophia Bleakley</t>
  </si>
  <si>
    <t>sophiaroseb@hotmail.com</t>
  </si>
  <si>
    <t>2026-05-28T04:07:23.663Z</t>
  </si>
  <si>
    <t>Sonia Wray</t>
  </si>
  <si>
    <t>sonia@sterlingfitness.com.au</t>
  </si>
  <si>
    <t>2026-05-28T14:33:40.624Z</t>
  </si>
  <si>
    <t>2026-06-05T12:44:15.314Z</t>
  </si>
  <si>
    <t>2026-06-05T14:20:22.816Z</t>
  </si>
  <si>
    <t xml:space="preserve">Aconcagua in January / Denali in June </t>
  </si>
  <si>
    <t>2026-06-09T15:51:47.980Z</t>
  </si>
  <si>
    <t>F</t>
  </si>
  <si>
    <t>faizabahrani@gmail.com</t>
  </si>
  <si>
    <t>2026-06-10T10:19:58.636Z</t>
  </si>
  <si>
    <t>mari_ws_acc@yahoo.com</t>
  </si>
  <si>
    <t>2026-06-15T09:18:04.351Z</t>
  </si>
  <si>
    <t>2026-06-16T23:53:50.949Z</t>
  </si>
  <si>
    <t>2026-06-20T11:36:04.996Z</t>
  </si>
  <si>
    <t>What are your Summit Goals</t>
  </si>
  <si>
    <t>phil</t>
  </si>
  <si>
    <t>philprattjr@hotmail.com</t>
  </si>
  <si>
    <t>2026-06-20T12:52:21.232Z</t>
  </si>
  <si>
    <t>2026-06-22T02:57:32.674Z</t>
  </si>
  <si>
    <t>Steven P. Fricke</t>
  </si>
  <si>
    <t>spfricke@msn.com</t>
  </si>
  <si>
    <t>2026-06-22T06:04:39.525Z</t>
  </si>
  <si>
    <t>Ofer</t>
  </si>
  <si>
    <t>ofer@mbmazor.com</t>
  </si>
  <si>
    <t>2026-06-23T12:58:32.618Z</t>
  </si>
  <si>
    <t>Skop</t>
  </si>
  <si>
    <t>sushilkop@hotmail.com</t>
  </si>
  <si>
    <t>2026-06-23T17:38:19.862Z</t>
  </si>
  <si>
    <t xml:space="preserve">Angela </t>
  </si>
  <si>
    <t>angiepianostuff@gmail.com</t>
  </si>
  <si>
    <t>2026-06-25T08:35:50.658Z</t>
  </si>
  <si>
    <t>2026-07-01T12:31:11.633Z</t>
  </si>
  <si>
    <t>bobo</t>
  </si>
  <si>
    <t>wgwrfpezecokgkzbbh@kjkpc.net</t>
  </si>
  <si>
    <t>2026-07-06T12:30:28.884Z</t>
  </si>
  <si>
    <t>Karen Davis</t>
  </si>
  <si>
    <t>kawdavis6@gmail.com</t>
  </si>
  <si>
    <t>2026-07-13T16:56:42.568Z</t>
  </si>
  <si>
    <t>Hart</t>
  </si>
  <si>
    <t>madhan@recaltraining.com</t>
  </si>
  <si>
    <t>2026-07-18T21:29:33.372Z</t>
  </si>
  <si>
    <t>Or Wassermann</t>
  </si>
  <si>
    <t>Everest</t>
  </si>
  <si>
    <t>ownsec@gmail.com</t>
  </si>
  <si>
    <t>2026-07-22T17:31:39.121Z</t>
  </si>
  <si>
    <t>Stacy Wright</t>
  </si>
  <si>
    <t>stacywrightbsn@gmail.com</t>
  </si>
  <si>
    <t>Climb Grand Teton and Take a Mountaineering class at Mt Baker or Rainier</t>
  </si>
  <si>
    <t>Becki</t>
  </si>
  <si>
    <t>Rupp</t>
  </si>
  <si>
    <t>becki@trailblazerwellness.com</t>
  </si>
  <si>
    <t>uphill skiing/skinning this winter at 11-13k feet above altitude</t>
  </si>
  <si>
    <t>Nathan</t>
  </si>
  <si>
    <t>Tidwell</t>
  </si>
  <si>
    <t>nrtguard-af@yahoo.com</t>
  </si>
  <si>
    <t>Aconcagua Jan/Feb 2026</t>
  </si>
  <si>
    <t>Category</t>
  </si>
  <si>
    <t>Score</t>
  </si>
  <si>
    <t>Input String</t>
  </si>
  <si>
    <t>Score Category</t>
  </si>
  <si>
    <t>Uy</t>
  </si>
  <si>
    <t>alex_uy@hotmail.com</t>
  </si>
  <si>
    <t>Assessment</t>
  </si>
  <si>
    <t>Weight</t>
  </si>
  <si>
    <t>Min Score</t>
  </si>
  <si>
    <t>Badge</t>
  </si>
  <si>
    <t>Calculated BOLT Numerical Score</t>
  </si>
  <si>
    <t>Calculated CO2TT Numerical Score</t>
  </si>
  <si>
    <t>Aconcagua in December</t>
  </si>
  <si>
    <t>Calculated MBT Numerical Score</t>
  </si>
  <si>
    <t>Calculated LOM Numerical Score</t>
  </si>
  <si>
    <t>Calculated ROM Numerical Score</t>
  </si>
  <si>
    <t>Calculated Total Weighted Score</t>
  </si>
  <si>
    <t>Very Bad</t>
  </si>
  <si>
    <t>Breath-Aware</t>
  </si>
  <si>
    <t>madhanprasad@test1.com</t>
  </si>
  <si>
    <t>Kilimanjaro</t>
  </si>
  <si>
    <t>Zone 1</t>
  </si>
  <si>
    <t>Christyna</t>
  </si>
  <si>
    <t>jauffret</t>
  </si>
  <si>
    <t>tynasmith@icloud.com</t>
  </si>
  <si>
    <t>madhanprasad@test2.com</t>
  </si>
  <si>
    <t>aconcagua in 10 weeks</t>
  </si>
  <si>
    <t>Anconcogua</t>
  </si>
  <si>
    <t>BOLT Tier</t>
  </si>
  <si>
    <t>CO2TT Tier</t>
  </si>
  <si>
    <t>MBT Tier</t>
  </si>
  <si>
    <t>LOM Tier</t>
  </si>
  <si>
    <t>Breather-in-Training</t>
  </si>
  <si>
    <t>ROM Tier</t>
  </si>
  <si>
    <t>Final RBI</t>
  </si>
  <si>
    <t xml:space="preserve">Weakest </t>
  </si>
  <si>
    <t>madhanprasad@test3.com</t>
  </si>
  <si>
    <t>Himalayas</t>
  </si>
  <si>
    <t>Rick</t>
  </si>
  <si>
    <t>campwire@comcast.net</t>
  </si>
  <si>
    <t>Kyle Bochanski</t>
  </si>
  <si>
    <t>kbochansk@gmail.com</t>
  </si>
  <si>
    <t>Aconcagua in January 2026</t>
  </si>
  <si>
    <t>ROM</t>
  </si>
  <si>
    <t>Michael Maler</t>
  </si>
  <si>
    <t>michael.o.maler@gmail.com</t>
  </si>
  <si>
    <t>Misa</t>
  </si>
  <si>
    <t>misaheat@gmail.com</t>
  </si>
  <si>
    <t>madhanprasad@test4.com</t>
  </si>
  <si>
    <t>Logan</t>
  </si>
  <si>
    <t>logangrundy@hotmail.com</t>
  </si>
  <si>
    <t>Peak Performance</t>
  </si>
  <si>
    <t>Functional Breather</t>
  </si>
  <si>
    <t xml:space="preserve">Shaina </t>
  </si>
  <si>
    <t>shaina.dotson@gmail.com</t>
  </si>
  <si>
    <t>svh19044@comcast.net</t>
  </si>
  <si>
    <t>nathantidwell@yahoo.com</t>
  </si>
  <si>
    <t>madhanprasad@test5.com</t>
  </si>
  <si>
    <t>Breathwork-Trained</t>
  </si>
  <si>
    <t xml:space="preserve">Rick Davis </t>
  </si>
  <si>
    <t>rickkdavis57@yahoo.com</t>
  </si>
  <si>
    <t>?</t>
  </si>
  <si>
    <t>Rudolph</t>
  </si>
  <si>
    <t>abbyc4321@gmail.com</t>
  </si>
  <si>
    <t>Bill Mattson</t>
  </si>
  <si>
    <t>uwpilot@gmail.com</t>
  </si>
  <si>
    <t>madhan@testcert1.com</t>
  </si>
  <si>
    <t>Kilimanjaroo</t>
  </si>
  <si>
    <t>Improve my overall breathing.  Improve postural muscles in my abdomen area.  Climb mountains all the time, like riding my bike up them actually :) And hiking sometimes. LOL</t>
  </si>
  <si>
    <t>madhanprasad@testcert2.com</t>
  </si>
  <si>
    <t>June</t>
  </si>
  <si>
    <t>madhanprasad@testcert3.com</t>
  </si>
  <si>
    <t>madhanprasad0.5@testcert4.com</t>
  </si>
  <si>
    <t>Bad</t>
  </si>
  <si>
    <t>gg</t>
  </si>
  <si>
    <t>Everest Base camp</t>
  </si>
  <si>
    <t>OK</t>
  </si>
  <si>
    <t>ca</t>
  </si>
  <si>
    <t>SC</t>
  </si>
  <si>
    <t>RR</t>
  </si>
  <si>
    <t>Breath Master</t>
  </si>
  <si>
    <t>Max Possible Score</t>
  </si>
  <si>
    <t>Puppet d’Or (seriously: to be able to operate comfortably at altitude)</t>
  </si>
  <si>
    <t>madhan@testcert2.com</t>
  </si>
  <si>
    <t>Ooty</t>
  </si>
  <si>
    <t>Aconcagua in January (with Grajales)</t>
  </si>
  <si>
    <t>John</t>
  </si>
  <si>
    <t>Cena</t>
  </si>
  <si>
    <t>johncena@test.com</t>
  </si>
  <si>
    <t>Rushmore</t>
  </si>
  <si>
    <t>Shawn</t>
  </si>
  <si>
    <t>Michaels</t>
  </si>
  <si>
    <t>shawn@test.com</t>
  </si>
  <si>
    <t>Twin Peaks</t>
  </si>
  <si>
    <t>SPo2 at altitude</t>
  </si>
  <si>
    <t>Reigns</t>
  </si>
  <si>
    <t>roman@test.com</t>
  </si>
  <si>
    <t>Table</t>
  </si>
  <si>
    <t xml:space="preserve">Name </t>
  </si>
  <si>
    <t>Expedition</t>
  </si>
  <si>
    <t>Question</t>
  </si>
  <si>
    <t>Webinar</t>
  </si>
  <si>
    <t>K2 base camp</t>
  </si>
  <si>
    <t>.</t>
  </si>
  <si>
    <t>Webinar 1 – April 28</t>
  </si>
  <si>
    <t>2026-04-28T19:59:15.384Z</t>
  </si>
  <si>
    <t>Ramella Chamaki</t>
  </si>
  <si>
    <t>K2 basecamp</t>
  </si>
  <si>
    <t>Breathing technique suggestions</t>
  </si>
  <si>
    <t>2026-04-28T20:03:13.053Z</t>
  </si>
  <si>
    <t>CM</t>
  </si>
  <si>
    <t>Vishal</t>
  </si>
  <si>
    <t>To hike without shortness of breath</t>
  </si>
  <si>
    <t>X3 4000m summits in Swiss Alps</t>
  </si>
  <si>
    <t>Train for 6000m expeditions</t>
  </si>
  <si>
    <t>Punk</t>
  </si>
  <si>
    <t>2026-04-28T20:03:55.791Z</t>
  </si>
  <si>
    <t>punk@test.com</t>
  </si>
  <si>
    <t>2026-04-28T20:04:31.880Z</t>
  </si>
  <si>
    <t>Christine</t>
  </si>
  <si>
    <t>K2 Base Camp</t>
  </si>
  <si>
    <t>What are your thoughts on the use of the Wim Hof breathing method in preparation for High Altitude trekking?</t>
  </si>
  <si>
    <t>Webinar 2 – April 29</t>
  </si>
  <si>
    <t>2026-04-29T13:51:30.971Z</t>
  </si>
  <si>
    <t>Robyn</t>
  </si>
  <si>
    <t>Manaslu Circuit</t>
  </si>
  <si>
    <t xml:space="preserve">Asked about the mask - she thought I said they DON'T help. So: call her out in that part. </t>
  </si>
  <si>
    <t>June 10 - AC</t>
  </si>
  <si>
    <t>robnden@xtra.co.nz</t>
  </si>
  <si>
    <t>Kili in 2027 with wife</t>
  </si>
  <si>
    <t>Lives at sea level. Has struggled before without diamond (maybe bring that up?)</t>
  </si>
  <si>
    <t>npappas17@gmail.com</t>
  </si>
  <si>
    <t>Chuck</t>
  </si>
  <si>
    <t>Everest 2027</t>
  </si>
  <si>
    <t>Had Khumbu cough at C3 Everest 2010 attempt</t>
  </si>
  <si>
    <t>chucknuzum@gmail.com</t>
  </si>
  <si>
    <t>Ket</t>
  </si>
  <si>
    <t>limb Dhaulagiri VII this year ,23rd Sept -23rd Oct
68 years old</t>
  </si>
  <si>
    <t>I would like to know why my feet/iegswould hardly move as we walked along the ridge to the summit of Broad Peak. Was it dehydration? 
What savoury foods on summit days do you like as by then i find the sweetness of bars etc hard to eat/ sickly. 
How can i get in tune with altitude ar sea level?</t>
  </si>
  <si>
    <t>jacquettahazledine@gmail.com</t>
  </si>
  <si>
    <t>Chris</t>
  </si>
  <si>
    <t>maybe Kilimanjaro 27..only thinking about it!</t>
  </si>
  <si>
    <t>Triple</t>
  </si>
  <si>
    <t>docchris@ozemail.com.au</t>
  </si>
  <si>
    <t>H</t>
  </si>
  <si>
    <t>Lisa</t>
  </si>
  <si>
    <t>I am working towards a possible 2nd Everest bid next spring. I am excited to hear about anything that
may make things a bit easier up there!</t>
  </si>
  <si>
    <t>hhh@test.com</t>
  </si>
  <si>
    <t>lisamarieclimbs@gmail.com</t>
  </si>
  <si>
    <t>HHH</t>
  </si>
  <si>
    <t>Ian</t>
  </si>
  <si>
    <t>Lobuche East (6,000m)</t>
  </si>
  <si>
    <t xml:space="preserve">No experience, but good physical shape. </t>
  </si>
  <si>
    <t>iancross2000@gmail.com</t>
  </si>
  <si>
    <t>Everest base camp trek next spring</t>
  </si>
  <si>
    <t>mp@test.com</t>
  </si>
  <si>
    <t>Aconcagua</t>
  </si>
  <si>
    <t>Prabhu</t>
  </si>
  <si>
    <t>A</t>
  </si>
  <si>
    <t>Heaven</t>
  </si>
  <si>
    <t>Everest base camp April 2027</t>
  </si>
  <si>
    <t>Kodaikanal</t>
  </si>
  <si>
    <t>Top</t>
  </si>
  <si>
    <t xml:space="preserve">Aconcagua </t>
  </si>
  <si>
    <t>wdafvv</t>
  </si>
  <si>
    <t>aveaev</t>
  </si>
  <si>
    <t>guga</t>
  </si>
  <si>
    <t>josh</t>
  </si>
  <si>
    <t>dvsdv</t>
  </si>
  <si>
    <t>kampling</t>
  </si>
  <si>
    <t>sfdbsb</t>
  </si>
  <si>
    <t>Jkampling@slusd.us</t>
  </si>
  <si>
    <t>GYgb</t>
  </si>
  <si>
    <t>Summit Aconcagua December 15-25</t>
  </si>
  <si>
    <t>afvadva</t>
  </si>
  <si>
    <t>avdadv</t>
  </si>
  <si>
    <t>wfaf</t>
  </si>
  <si>
    <t>avddva</t>
  </si>
  <si>
    <t>vdadvava</t>
  </si>
  <si>
    <t>ass</t>
  </si>
  <si>
    <t>JUST HEALTHY LIVING</t>
  </si>
  <si>
    <t xml:space="preserve">Jackie </t>
  </si>
  <si>
    <t>Chan</t>
  </si>
  <si>
    <t>asdvadv</t>
  </si>
  <si>
    <t>Run a marathon (or other distance) at or near sea level</t>
  </si>
  <si>
    <t>Sub three in Mumbai Marathon. I have done a 100miler in my third trail race with longest a 50km high altitude race. That 100 miler had almost 10000 m total climb although altitude was max around 3000.</t>
  </si>
  <si>
    <t>Praz</t>
  </si>
  <si>
    <t>edfwsef</t>
  </si>
  <si>
    <t>Han</t>
  </si>
  <si>
    <t>Solo</t>
  </si>
  <si>
    <t>Hoth</t>
  </si>
  <si>
    <t>Tony</t>
  </si>
  <si>
    <t>Stark</t>
  </si>
  <si>
    <t>Towers</t>
  </si>
  <si>
    <t>4000m peak by summer 2026</t>
  </si>
  <si>
    <t>Drake</t>
  </si>
  <si>
    <t>kili</t>
  </si>
  <si>
    <t xml:space="preserve">Aconcagua December </t>
  </si>
  <si>
    <t>Peter</t>
  </si>
  <si>
    <t>Empire State</t>
  </si>
  <si>
    <t>Jesus</t>
  </si>
  <si>
    <t>Christ</t>
  </si>
  <si>
    <t>Using breath to be more efficient at keep HR lower during aerobic activities.</t>
  </si>
  <si>
    <t>I'm 71 YEARS OLD.
Have mild copd.
Plan on hiking parts of the Dolomites next year.</t>
  </si>
  <si>
    <t xml:space="preserve">Jarmila </t>
  </si>
  <si>
    <t xml:space="preserve">Patlejchova </t>
  </si>
  <si>
    <t>jpatlejch@yahoo.com</t>
  </si>
  <si>
    <t>Aconcagua in January</t>
  </si>
  <si>
    <t>Aconcagua in Feb 2026</t>
  </si>
  <si>
    <t>Joseph</t>
  </si>
  <si>
    <t>TVK</t>
  </si>
  <si>
    <t>Mark</t>
  </si>
  <si>
    <t>Callaway</t>
  </si>
  <si>
    <t>Mount Doom</t>
  </si>
  <si>
    <t>Hike in Nepal above 6500 meter</t>
  </si>
  <si>
    <t>Glenn</t>
  </si>
  <si>
    <t>Jacobs</t>
  </si>
  <si>
    <t>madhanaz270@gmail.com</t>
  </si>
  <si>
    <t>DOOM 2</t>
  </si>
  <si>
    <t>Phil</t>
  </si>
  <si>
    <t>Lord</t>
  </si>
  <si>
    <t>Sky</t>
  </si>
  <si>
    <t>anthonylorubbio@recaltravel.com</t>
  </si>
  <si>
    <t>Druk Path / Snowman’s Trail - Bhutan</t>
  </si>
  <si>
    <t>Tite</t>
  </si>
  <si>
    <t>Arun</t>
  </si>
  <si>
    <t>Maini</t>
  </si>
  <si>
    <t>You</t>
  </si>
  <si>
    <t>Build my fitness and breathing.</t>
  </si>
  <si>
    <t>Lo</t>
  </si>
  <si>
    <t>Fi</t>
  </si>
  <si>
    <t>Grad</t>
  </si>
  <si>
    <t>Palani</t>
  </si>
  <si>
    <t>Raaj</t>
  </si>
  <si>
    <t>Ryana</t>
  </si>
  <si>
    <t>Miranda</t>
  </si>
  <si>
    <t>Aaapo</t>
  </si>
  <si>
    <t>Collins</t>
  </si>
  <si>
    <t>Nwokolo</t>
  </si>
  <si>
    <t>Nigeria</t>
  </si>
  <si>
    <t>Bertothy</t>
  </si>
  <si>
    <t>Ski in a month</t>
  </si>
  <si>
    <t>Morck</t>
  </si>
  <si>
    <t>5fecd239-a80d-4ed5-9db2-bd35dfe472e8</t>
  </si>
  <si>
    <t>Home</t>
  </si>
  <si>
    <t>d85fc3a1-1811-4fc6-a467-54cc13148892</t>
  </si>
  <si>
    <t>1ae485a5-8286-4ac8-9dbf-df3efea7ac5b</t>
  </si>
  <si>
    <t>christyna</t>
  </si>
  <si>
    <t>87078bbd-a09a-426f-80cc-079b38c47f52</t>
  </si>
  <si>
    <t>b650c685-f607-463a-9c0c-ed4da4a70f28</t>
  </si>
  <si>
    <t>93f687f9-eed7-47cd-8afc-01c3d59a8e0b</t>
  </si>
  <si>
    <t>Hope</t>
  </si>
  <si>
    <t>69524476-cedd-411c-9a39-ff83818d5214</t>
  </si>
  <si>
    <t>Fully</t>
  </si>
  <si>
    <t>415c5827-8650-4d56-9f1d-ebd6317ef75c</t>
  </si>
  <si>
    <t>60c81031-11e0-4ab7-889a-d6b86a0bb24c</t>
  </si>
  <si>
    <t>cad19a23-1ab9-44f5-9c2f-ecbb7259ee10</t>
  </si>
  <si>
    <t>c7a1a823-f555-4c54-8454-f87db4ceb192</t>
  </si>
  <si>
    <t>2d16f309-4314-44cf-b68d-698ea9a37da5</t>
  </si>
  <si>
    <t>e270a267-0d5a-4c02-b76c-da726835cc41</t>
  </si>
  <si>
    <t>ab048b95-4144-4d6f-8878-23f51a81bdf2</t>
  </si>
  <si>
    <t>1c3479c6-7692-4438-8193-5c7a6bf3db57</t>
  </si>
  <si>
    <t>0ca70efd-7350-4329-8ecc-f2e571d7910d</t>
  </si>
  <si>
    <t>043c1c71-0330-4f24-87af-2638d6ce6bfc</t>
  </si>
  <si>
    <t>c80dc5dc-b4d4-46b4-8b53-48a6234e441b</t>
  </si>
  <si>
    <t>3e9887c5-0ce8-4179-9ede-293783786ddd</t>
  </si>
  <si>
    <t>Lets</t>
  </si>
  <si>
    <t>See</t>
  </si>
  <si>
    <t>d09729d4-5f4e-45f4-a848-c402cb427cd2</t>
  </si>
  <si>
    <t>06a93815-da47-4be6-8e01-96d7ebc20fc9</t>
  </si>
  <si>
    <t>558ef592-09c4-4e54-9b64-6e4a6cb7e1e4</t>
  </si>
  <si>
    <t>3a30a580-180d-455f-b0fd-b1621cd3c608</t>
  </si>
  <si>
    <t>fc6570cc-0e83-457c-b725-bad2d0d7bd6b</t>
  </si>
  <si>
    <t>72904c9b-65db-471f-894c-053c84c42ad9</t>
  </si>
  <si>
    <t>PDF</t>
  </si>
  <si>
    <t>Monkey</t>
  </si>
  <si>
    <t>a178c791-c574-4b4b-a37c-68c79f128dee</t>
  </si>
  <si>
    <t>6dc91485-1ac6-4cc2-808e-75394de611a2</t>
  </si>
  <si>
    <t>b0e5a4da-2f94-4e2f-a12d-b5e78d9a614f</t>
  </si>
  <si>
    <t>c50bd881-8a1d-47b5-a101-49edc62cfd6a</t>
  </si>
  <si>
    <t>527f7089-ec1c-4784-baf6-4d5809b7695d</t>
  </si>
  <si>
    <t>28ef0b48-567e-46ab-826a-2a5c67165eef</t>
  </si>
  <si>
    <t>Monkey2</t>
  </si>
  <si>
    <t>aaf90225-df90-421c-9ea3-79d5aa67c76b</t>
  </si>
  <si>
    <t>Kong</t>
  </si>
  <si>
    <t>3733778f-c06e-4164-a004-344789825354</t>
  </si>
  <si>
    <t>2a06f015-9523-4b46-b907-09c49f36321f</t>
  </si>
  <si>
    <t>6e229d14-8363-400c-9b7c-ef74d5d004b5</t>
  </si>
  <si>
    <t>4cbe973e-c9c9-4965-9142-3ad7a6486cf5</t>
  </si>
  <si>
    <t>af1f2f5c-0b52-4640-a959-a4bde5e94395</t>
  </si>
  <si>
    <t>27667b7e-3dc5-4f44-8d4c-a486661cac7f</t>
  </si>
  <si>
    <t>New</t>
  </si>
  <si>
    <t>Day</t>
  </si>
  <si>
    <t>c50dc9ef-5208-47ed-8ca0-5363f139b702</t>
  </si>
  <si>
    <t>2a68e268-db28-451d-9ce0-6a213ea488d5</t>
  </si>
  <si>
    <t>bbdb7186-35f1-4601-bc19-e26cf33e138b</t>
  </si>
  <si>
    <t>6317664a-0642-4ac4-8da5-edd7220af12a</t>
  </si>
  <si>
    <t>5f28e3a2-8e13-482c-8b22-fa268d716f1f</t>
  </si>
  <si>
    <t>Overcome my fear of heights</t>
  </si>
  <si>
    <t>46fe4419-91c5-4be5-aa87-e8eeb0b5d0ae</t>
  </si>
  <si>
    <t>126f5763-6b18-454a-9610-673153d4dc90</t>
  </si>
  <si>
    <t>Tom</t>
  </si>
  <si>
    <t>3f50ee19-d082-42b3-a8b1-53e5f27e7630</t>
  </si>
  <si>
    <t>Holland</t>
  </si>
  <si>
    <t>623c2078-1f2e-470e-b443-8c4ea121f947</t>
  </si>
  <si>
    <t>9849b39d-0ee5-4a24-9add-7bae3d5c201a</t>
  </si>
  <si>
    <t>Olympus</t>
  </si>
  <si>
    <t>f756456c-23c9-4c33-997a-cdeee400aea5</t>
  </si>
  <si>
    <t>d21d2eea-3b29-4a4b-b1f0-4d8acd65f09b</t>
  </si>
  <si>
    <t>0a475009-b812-462a-82b4-f6630c404b5f</t>
  </si>
  <si>
    <t>94c0b3b9-56d8-415b-a4dc-43d2880697bd</t>
  </si>
  <si>
    <t>aa24d403-0ba5-428e-b913-b7fb8d8edf53</t>
  </si>
  <si>
    <t>506b7a2d-6a01-4393-873c-5552eeb5d41f</t>
  </si>
  <si>
    <t>Bless</t>
  </si>
  <si>
    <t>e43e89b1-a3b3-4446-9458-da55f893cf1e</t>
  </si>
  <si>
    <t>e6d42905-96c6-44b3-b2a4-07ac87d56c85</t>
  </si>
  <si>
    <t>Victory</t>
  </si>
  <si>
    <t>9ec68c1b-2aaa-4dca-af53-d6a92ead79ac</t>
  </si>
  <si>
    <t>Everest summit</t>
  </si>
  <si>
    <t>65d76876-bec3-4997-8e30-fa1cc1acdc28</t>
  </si>
  <si>
    <t>42ea79f7-1d9d-42ac-b47f-2dca72c2c7f8</t>
  </si>
  <si>
    <t>d74412d6-4bb6-42f6-aa9d-1988162fdbc3</t>
  </si>
  <si>
    <t>30e56b3c-cac1-4f9e-b0ba-0f0689170eb7</t>
  </si>
  <si>
    <t>5b864785-d2f9-4cf0-97a5-3dbb3f775675</t>
  </si>
  <si>
    <t>Show</t>
  </si>
  <si>
    <t>Off</t>
  </si>
  <si>
    <t>adf2d062-7ec0-48b0-ad9c-5ecf66929101</t>
  </si>
  <si>
    <t>d521b630-01cf-42c2-8e52-1f6eeed831e6</t>
  </si>
  <si>
    <t>Glory</t>
  </si>
  <si>
    <t>51a5bde7-ae2f-4e6f-9260-d04374bc8f32</t>
  </si>
  <si>
    <t>e2eae00a-f204-4cd6-9263-3d63cbaf4939</t>
  </si>
  <si>
    <t>568e6e6d-64a3-4e3c-9595-8d6855a6089f</t>
  </si>
  <si>
    <t>109d0a10-d3f6-47eb-8657-e58d923b22cd</t>
  </si>
  <si>
    <t>75afadd2-3fac-4f76-9982-398df2cf0828</t>
  </si>
  <si>
    <t>fe36754d-db52-453e-ad39-fe782aa28920</t>
  </si>
  <si>
    <t xml:space="preserve">Last </t>
  </si>
  <si>
    <t>151d49be-a917-4e70-bebd-0dda1cccb808</t>
  </si>
  <si>
    <t>Time</t>
  </si>
  <si>
    <t>551033ae-7cfd-4435-8b1d-a7ce7105a7ca</t>
  </si>
  <si>
    <t>c00932fe-4034-4fba-8042-cede396f191c</t>
  </si>
  <si>
    <t>Now</t>
  </si>
  <si>
    <t>fc747dd3-da4f-4b1d-b64e-e6a0c39a3623</t>
  </si>
  <si>
    <t>ecd26cab-bc98-4034-8924-cca3ee319690</t>
  </si>
  <si>
    <t>ded9d906-610a-4d8a-a340-b4fcce896c09</t>
  </si>
  <si>
    <t>Richard  Bassman</t>
  </si>
  <si>
    <t>9e44923a-38d6-4d1f-87b5-eff9d4e6b419</t>
  </si>
  <si>
    <t>2a994e12-63c4-41ac-af31-bd5e861204e2</t>
  </si>
  <si>
    <t>250d8b72-ec09-4c02-ad36-839adf41748f</t>
  </si>
  <si>
    <t>8b1783a9-b36c-4316-ade2-2bdeeeb5a1ff</t>
  </si>
  <si>
    <t>b3996702-7605-4502-9ffd-1e2a76b1119d</t>
  </si>
  <si>
    <t>8fe00fbe-50ba-4e2e-92c1-3fab371a6dba</t>
  </si>
  <si>
    <t>de99f018-581b-484a-a082-62e52de6e5c8</t>
  </si>
  <si>
    <t>f41d6b57-3248-468d-bdb3-9fd0bc68561f</t>
  </si>
  <si>
    <t>f9a06a2c-d541-4b9c-b9cd-508888deb854</t>
  </si>
  <si>
    <t>1de67084-c26b-44d3-ab05-54c9618403de</t>
  </si>
  <si>
    <t>f96fe6df-2ac9-4650-b247-8b5cbcff26d6</t>
  </si>
  <si>
    <t>Mt Elbert in Colorado in June 2026</t>
  </si>
  <si>
    <t>cad1e5ac-7d82-4499-b9e6-a3507a5a9755</t>
  </si>
  <si>
    <t>9fd3742e-0475-4388-b5d0-359bcbcae812</t>
  </si>
  <si>
    <t>2a6e1dc7-d018-46d3-8a0e-6fcd326051f8</t>
  </si>
  <si>
    <t>42cac6e1-2152-4a16-bb74-41fdd98e6596</t>
  </si>
  <si>
    <t>0e5a5476-779f-404e-be96-f61c58175d25</t>
  </si>
  <si>
    <t>9a3f881a-f145-498b-a230-c54b7d8bcfa1</t>
  </si>
  <si>
    <t>de3fb8fe-2644-492b-a169-73be2ee4c84d</t>
  </si>
  <si>
    <t>91d31413-e15f-436e-8eba-a9e9cbf09b01</t>
  </si>
  <si>
    <t>6a92c256-62ad-40e1-8bc8-ecb86dbc7466</t>
  </si>
  <si>
    <t>21143faa-01f4-46d7-b72b-93938ac34950</t>
  </si>
  <si>
    <t>dc383cc6-e411-490c-80fb-6998ef7f04ad</t>
  </si>
  <si>
    <t>Divya</t>
  </si>
  <si>
    <t>4d7a3aa6-72ba-4f6a-b49d-b06c219f864a</t>
  </si>
  <si>
    <t>M</t>
  </si>
  <si>
    <t>88e59b6a-75f0-4161-8475-b4a3763a9666</t>
  </si>
  <si>
    <t>8c518dbf-4f1d-4af0-938a-382807f6157d</t>
  </si>
  <si>
    <t>e7b33920-693c-4397-bd23-ce0813570fe2</t>
  </si>
  <si>
    <t>Kilimanjaro in August 2026</t>
  </si>
  <si>
    <t>4cc0020e-6ea5-4bea-a1c1-9ff45ae3f68c</t>
  </si>
  <si>
    <t>af9aea6f-be0e-46c4-8cfa-41a5100ed092</t>
  </si>
  <si>
    <t>Dr Smriti</t>
  </si>
  <si>
    <t>77e529ed-a9b3-40f2-946c-dde953bbcec8</t>
  </si>
  <si>
    <t>7aacb35e-f5d9-409d-a24b-0cc5064eafea</t>
  </si>
  <si>
    <t>Yamini</t>
  </si>
  <si>
    <t>N</t>
  </si>
  <si>
    <t>3fe2533d-824c-4550-9868-c4fed3a71a62</t>
  </si>
  <si>
    <t>3a479d23-4f70-498e-8ed2-1237e6b7524c</t>
  </si>
  <si>
    <t>e74f2d67-1b9a-49e5-bc68-4087d6d6c54e</t>
  </si>
  <si>
    <t>9c372a61-95a6-4d48-82de-18e489995518</t>
  </si>
  <si>
    <t>6cff0dea-35c1-4d73-b2e7-b56ea140f787</t>
  </si>
  <si>
    <t>e31d8d4d-f23b-4652-9a60-9bdfa3ec5517</t>
  </si>
  <si>
    <t>0109fda9-5d07-4ff6-a028-17e72d7eb295</t>
  </si>
  <si>
    <t>Hobbit</t>
  </si>
  <si>
    <t>fa715da1-4f87-4264-956b-f3da278f4e16</t>
  </si>
  <si>
    <t>34dc5c12-d1c4-42fc-b909-552ea652560e</t>
  </si>
  <si>
    <t>Aran</t>
  </si>
  <si>
    <t>968ba951-4577-45a9-a63d-caa0923e6b61</t>
  </si>
  <si>
    <t>bfe13f26-1a48-4586-a4fe-895c78360fa5</t>
  </si>
  <si>
    <t>Anconcagua 2026/2027</t>
  </si>
  <si>
    <t>106956c4-12fe-4c75-9b69-db7c6c580c15</t>
  </si>
  <si>
    <t>ac634a4d-b5ab-42b7-9a2f-fa2a0c84ce7a</t>
  </si>
  <si>
    <t>a4c29565-96a4-4aba-99f7-cc1468c8c717</t>
  </si>
  <si>
    <t>bb7cafb3-39ee-46e4-8adf-988e34b18f0e</t>
  </si>
  <si>
    <t>7521d0f6-b515-44be-a9dd-5e92f80ea129</t>
  </si>
  <si>
    <t>732b51b9-f22d-4723-bb0f-21138d39f927</t>
  </si>
  <si>
    <t>f8ce8abc-02b7-47c1-adcc-93570d2ecc02</t>
  </si>
  <si>
    <t>Peace</t>
  </si>
  <si>
    <t>0d0e2b7c-3e19-4a8a-9b5a-fad4caf32521</t>
  </si>
  <si>
    <t>436a9dd1-03f2-4d5b-a314-c1fd5847dad8</t>
  </si>
  <si>
    <t>6fe55e86-fb71-41ec-a6c8-b780f4448bad</t>
  </si>
  <si>
    <t>e17221ab-b134-43cd-be54-95b6d46f34fe</t>
  </si>
  <si>
    <t>9a182457-a30a-4d67-ab28-e93f09196bcb</t>
  </si>
  <si>
    <t>99992528-4b96-4328-94e8-fc82733b6e0a</t>
  </si>
  <si>
    <t>3150fe34-94d6-4c0e-85f9-07a204cd1f02</t>
  </si>
  <si>
    <t>0de123d3-c186-432a-9772-9d2d530f2b11</t>
  </si>
  <si>
    <t>5b5846d9-fb2c-438e-9cc7-08b4089bc184</t>
  </si>
  <si>
    <t>466939f4-0135-4ebd-b6a5-b4aefc72e844</t>
  </si>
  <si>
    <t>eee29257-87f2-426a-b265-a4f3423482a6</t>
  </si>
  <si>
    <t>33cf40c7-0a05-436b-9de3-be09a82700d1</t>
  </si>
  <si>
    <t>ae8fa490-f4b1-4c38-87ed-15d75364ea1f</t>
  </si>
  <si>
    <t>7e052a69-335b-4bed-a749-0d46867ccaab</t>
  </si>
  <si>
    <t>dce9268c-0e3f-44db-a954-ccbfb2d4df88</t>
  </si>
  <si>
    <t>ca7e3db9-5d8d-432c-bc4a-68892b1a800e</t>
  </si>
  <si>
    <t>b398b873-2cf8-42da-b7db-fe209ef8e530</t>
  </si>
  <si>
    <t>Yam</t>
  </si>
  <si>
    <t>378323ae-ec2d-4e7c-ba1f-fb1f2b5b86b4</t>
  </si>
  <si>
    <t>4a06fe18-b892-4ef0-9a6e-6082507f3f42</t>
  </si>
  <si>
    <t>Texas</t>
  </si>
  <si>
    <t>022ffd29-a883-4ff8-a708-4b0d18bb54d1</t>
  </si>
  <si>
    <t>85291b92-f5d2-40fa-81d7-f31b3ac95f15</t>
  </si>
  <si>
    <t>40f9def8-dd00-438b-bc9f-098d3df230ba</t>
  </si>
  <si>
    <t>8ed4d1d4-071f-469e-b4fb-fae6ae6c33e0</t>
  </si>
  <si>
    <t>a089da5f-a900-4bea-b09c-27d9aaad0dfb</t>
  </si>
  <si>
    <t>77d608cd-306c-4bd1-bbb2-dfa0841b9f6f</t>
  </si>
  <si>
    <t>f809d07d-ff5d-4462-8401-4aca7d76ee73</t>
  </si>
  <si>
    <t>Sandra</t>
  </si>
  <si>
    <t>ee5f9002-de68-48d5-a5fe-21cc801d625b</t>
  </si>
  <si>
    <t>cef4c342-51c9-405f-802d-20c3c655202c</t>
  </si>
  <si>
    <t>bb780b2e-61e9-46cc-a891-b8a9d23d7758</t>
  </si>
  <si>
    <t>bbbb3d5b-1e5d-4112-8aca-ff3b770cdd3b</t>
  </si>
  <si>
    <t>ff6ebb31-c71e-48d9-b552-93b8ed842d67</t>
  </si>
  <si>
    <t>R</t>
  </si>
  <si>
    <t>3336c598-c2d0-4ea4-836d-1b245b0571ad</t>
  </si>
  <si>
    <t>aaae16ae-5205-4460-9094-988542ffe15d</t>
  </si>
  <si>
    <t>St. Patrick</t>
  </si>
  <si>
    <t>b568c880-a6ce-44d5-a94b-a2c84eabcdc1</t>
  </si>
  <si>
    <t>1a84cc32-5ca1-4805-a12a-0b9ebb5ad5c9</t>
  </si>
  <si>
    <t>My wife and I are running a 25k at altitude in Feb (2900m to3450m)</t>
  </si>
  <si>
    <t>7c7319b5-68a1-4a69-9104-0ce2390f4196</t>
  </si>
  <si>
    <t>6ccf62f7-e6f1-4188-b2b5-c0fe6aa21cec</t>
  </si>
  <si>
    <t>13dc64ad-9c7d-49c0-b9fd-eeaa6acd6dd1</t>
  </si>
  <si>
    <t>9b0df566-9b2a-4e0e-b6b1-d065fe0cae5d</t>
  </si>
  <si>
    <t>bac30d0a-604e-4e01-8a09-e6f8131c4ab0</t>
  </si>
  <si>
    <t>429b8d19-7cab-47fe-94f8-2a50cfd2787b</t>
  </si>
  <si>
    <t>766bbea6-a2fd-4baa-a308-d3d1d8963523</t>
  </si>
  <si>
    <t>b34067e0-94eb-434f-a2dd-a96a6822657e</t>
  </si>
  <si>
    <t>399428ef-842f-4adb-a457-1d9a080d8840</t>
  </si>
  <si>
    <t>9cae9663-6d18-4622-b83b-85eb3840d9c2</t>
  </si>
  <si>
    <t>Selvarani</t>
  </si>
  <si>
    <t>5f75c636-61e1-47a4-813d-4b62341200c9</t>
  </si>
  <si>
    <t>P</t>
  </si>
  <si>
    <t>064686b1-3470-40fb-8f07-4dbb609541a7</t>
  </si>
  <si>
    <t>02eed5ca-4472-4fae-8c47-835aecd3afe6</t>
  </si>
  <si>
    <t>Angela</t>
  </si>
  <si>
    <t>68467831-9cb8-43a0-ba5e-b5368f81d5a1</t>
  </si>
  <si>
    <t>332c6a9b-c68e-4615-a887-76c207befa4e</t>
  </si>
  <si>
    <t>Chimborazo in 4 weeks</t>
  </si>
  <si>
    <t>f4703298-8966-4959-ab6d-cb070ad31d6f</t>
  </si>
  <si>
    <t>41310017-f9a5-4482-9b83-e64cce1648e1</t>
  </si>
  <si>
    <t>05a9d46f-5019-4578-8649-631a30c7a192</t>
  </si>
  <si>
    <t>7de8c25a-06f7-4ed0-a03a-e3ee6befd137</t>
  </si>
  <si>
    <t>AR</t>
  </si>
  <si>
    <t>Rahman</t>
  </si>
  <si>
    <t>Oscar</t>
  </si>
  <si>
    <t>Honestly, this is about improving VO2 max. Thanks!</t>
  </si>
  <si>
    <t>Jackson</t>
  </si>
  <si>
    <t>Hehe</t>
  </si>
  <si>
    <t>Everest Summit, seriously. :-)</t>
  </si>
  <si>
    <t>r</t>
  </si>
  <si>
    <t>I signed up to do Leadville Marathon in June.  However, I do not do well at altitude. I hiked up the Pikes Peak with some friends and it kicked my butt. I then did the Pikes Peak half marathon 2yrs later and it kicked my butt again. I was 1 1/2 mins from getting at DNF and finished at 6hrs28.5mins. 
I want to prepare as best I can for this epic race at altitude. 
Thank you,
Ozzy</t>
  </si>
  <si>
    <t>v</t>
  </si>
  <si>
    <t>dfd</t>
  </si>
  <si>
    <t>Curtis</t>
  </si>
  <si>
    <t>Nepal</t>
  </si>
  <si>
    <t>Four 20,000' peaks in February.</t>
  </si>
  <si>
    <t>dwfq</t>
  </si>
  <si>
    <t>wew</t>
  </si>
  <si>
    <t>qfqef</t>
  </si>
  <si>
    <t>Aconcagua in 2027</t>
  </si>
  <si>
    <t>anthony@recaltyravel.com</t>
  </si>
  <si>
    <t>Aconcogua</t>
  </si>
  <si>
    <t>Win</t>
  </si>
  <si>
    <t>Ski touring up to 4,200m in April</t>
  </si>
  <si>
    <t>Mailchimp</t>
  </si>
  <si>
    <t>everest base camp</t>
  </si>
  <si>
    <t>mailchimptest@gmail.com</t>
  </si>
  <si>
    <t>everest</t>
  </si>
  <si>
    <t>beeing faster uphill in ski-mountaineering, trailrunning and hiking.
I often feel like I'm keeping up okay downhill, but having a hard time uphill</t>
  </si>
  <si>
    <t>Jason</t>
  </si>
  <si>
    <t>Werr</t>
  </si>
  <si>
    <t>adaf</t>
  </si>
  <si>
    <t>svdsvd</t>
  </si>
  <si>
    <t>Aconcagua next January</t>
  </si>
  <si>
    <t>Mera peak expedition in Nepal in April 2026</t>
  </si>
  <si>
    <t>Wick</t>
  </si>
  <si>
    <t>liyice4445@fursee.com</t>
  </si>
  <si>
    <t>High Table</t>
  </si>
  <si>
    <t>I'm also doing a couple of high altitude mountains fast ascend.  Orizaba in March, 100K in April (not at an altitude), Elbrus in June, 100M in July (not at an altitude but have 32K ft elevation gain.  I'll be doing Leadville 100M next year.</t>
  </si>
  <si>
    <t>Ethan</t>
  </si>
  <si>
    <t>Hunt</t>
  </si>
  <si>
    <t>bocemi1556@euleina.com</t>
  </si>
  <si>
    <t>Climb Wheeler Peak, NM in July 2026 AND Kilimanjaro in June 2027</t>
  </si>
  <si>
    <t>James</t>
  </si>
  <si>
    <t>Bond</t>
  </si>
  <si>
    <t>bohij11941@euleina.com</t>
  </si>
  <si>
    <t>Skyfall</t>
  </si>
  <si>
    <t>Eve</t>
  </si>
  <si>
    <t>Moneypenny</t>
  </si>
  <si>
    <t>losapiw928@aperiol.com</t>
  </si>
  <si>
    <t>Completing a 10k</t>
  </si>
  <si>
    <t>Climb Acancogua January 2027</t>
  </si>
  <si>
    <t>Hermione</t>
  </si>
  <si>
    <t>Granger</t>
  </si>
  <si>
    <t>releco1614@aperiol.com</t>
  </si>
  <si>
    <t>Climbing Cho Oyu</t>
  </si>
  <si>
    <t>Like to summit Mt. Everest</t>
  </si>
  <si>
    <t>Ron</t>
  </si>
  <si>
    <t>Weasley</t>
  </si>
  <si>
    <t>gipeho5569@ahanim.com</t>
  </si>
  <si>
    <t>Mt. Kilimanjaroo</t>
  </si>
  <si>
    <t>EBC in late April</t>
  </si>
  <si>
    <t>Albus</t>
  </si>
  <si>
    <t>Dumbledore</t>
  </si>
  <si>
    <t>tatevo3250@chaublog.com</t>
  </si>
  <si>
    <t>Finish leadville 100 this year</t>
  </si>
  <si>
    <t>EBC base camp and Lobuche east early April. Start the hike 3/21 with peak 4/2&amp;3. I’ve done kili and 22 14ers. Sometimes AMS. Sometimes not. Used diamox on Kili.</t>
  </si>
  <si>
    <t>Harry</t>
  </si>
  <si>
    <t>Potter</t>
  </si>
  <si>
    <t>cisiw93140@chaublog.com</t>
  </si>
  <si>
    <t>Finish Leadville 100 before 2026</t>
  </si>
  <si>
    <t>Increase lung capacity.
Everest base camp trek 2027</t>
  </si>
  <si>
    <t>Lucius</t>
  </si>
  <si>
    <t>Malfoy</t>
  </si>
  <si>
    <t>rimawer867@chaublog.com</t>
  </si>
  <si>
    <t>Climb Everest next year</t>
  </si>
  <si>
    <t>Severus</t>
  </si>
  <si>
    <t>Climb multiple 14ers in one day during June trip</t>
  </si>
  <si>
    <t>Snape</t>
  </si>
  <si>
    <t>xemanin136@futurejs.com</t>
  </si>
  <si>
    <t>Finish leadville 100 immediately</t>
  </si>
  <si>
    <t>lapitik853@lanipe.com</t>
  </si>
  <si>
    <t>Summit colorado mountains</t>
  </si>
  <si>
    <t>High lonesome 100</t>
  </si>
  <si>
    <t>Rocky</t>
  </si>
  <si>
    <t>Balboa</t>
  </si>
  <si>
    <t>Obi</t>
  </si>
  <si>
    <t>Wan</t>
  </si>
  <si>
    <t>Everest in July</t>
  </si>
  <si>
    <t>Rainier in July!</t>
  </si>
  <si>
    <t>Paul</t>
  </si>
  <si>
    <t>Walker</t>
  </si>
  <si>
    <t>Heaven since 2017</t>
  </si>
  <si>
    <r>
      <t xml:space="preserve">On a scale of 1-5, </t>
    </r>
    <r>
      <rPr>
        <rFont val="Arial"/>
        <b/>
        <color theme="1"/>
      </rPr>
      <t>how clear were the instructions</t>
    </r>
    <r>
      <rPr>
        <rFont val="Arial"/>
        <color theme="1"/>
      </rPr>
      <t xml:space="preserve"> for each of the 5 tests in the assessment?</t>
    </r>
  </si>
  <si>
    <t>Feel free to elaborate more on what was confusing vs clear:</t>
  </si>
  <si>
    <t>Did you encounter any technical issues or confusion while filling out the form?</t>
  </si>
  <si>
    <t>lots of large glacieated peaks this summer (possibly including Rainier); improved ski touring and hiking/climbing fitness in general</t>
  </si>
  <si>
    <t>If yes, can you explain more?</t>
  </si>
  <si>
    <t>Did you receive the first email with your certificate promptly after submitting the form?</t>
  </si>
  <si>
    <t>Please open the PDF certificate attached to that 1st email.</t>
  </si>
  <si>
    <r>
      <t xml:space="preserve">On a scale of 1-5, </t>
    </r>
    <r>
      <rPr>
        <rFont val="Arial"/>
        <b/>
        <color theme="1"/>
      </rPr>
      <t>how clear and engaging did you find the emails</t>
    </r>
    <r>
      <rPr>
        <rFont val="Arial"/>
        <color theme="1"/>
      </rPr>
      <t xml:space="preserve"> throughout the sequence? </t>
    </r>
  </si>
  <si>
    <r>
      <t xml:space="preserve">Which email in the sequence did you find the </t>
    </r>
    <r>
      <rPr>
        <rFont val="Arial"/>
        <b/>
        <color theme="1"/>
      </rPr>
      <t>most valuable or compelling</t>
    </r>
    <r>
      <rPr>
        <rFont val="Arial"/>
        <color theme="1"/>
      </rPr>
      <t xml:space="preserve">, and why? </t>
    </r>
  </si>
  <si>
    <r>
      <t xml:space="preserve">Which email did you find the </t>
    </r>
    <r>
      <rPr>
        <rFont val="Arial"/>
        <b/>
        <color theme="1"/>
      </rPr>
      <t>least valuable or interesting</t>
    </r>
    <r>
      <rPr>
        <rFont val="Arial"/>
        <color theme="1"/>
      </rPr>
      <t xml:space="preserve">, and why? </t>
    </r>
  </si>
  <si>
    <r>
      <t xml:space="preserve">Did you click on any of the Call to Action buttons (e.g., "Fix My Weak Link," "Join Basecamp," "Book a Call")? If so, </t>
    </r>
    <r>
      <rPr>
        <rFont val="Arial"/>
        <b/>
        <color theme="1"/>
      </rPr>
      <t>what was your motivation</t>
    </r>
    <r>
      <rPr>
        <rFont val="Arial"/>
        <color theme="1"/>
      </rPr>
      <t xml:space="preserve"> at that moment?</t>
    </r>
  </si>
  <si>
    <r>
      <rPr>
        <rFont val="Arial"/>
        <b/>
        <color theme="1"/>
      </rPr>
      <t>The Million-Dollar Question:</t>
    </r>
    <r>
      <rPr>
        <rFont val="Arial"/>
        <color theme="1"/>
      </rPr>
      <t xml:space="preserve"> 
The goal of this funnel is to get users to enroll in our training program(s). </t>
    </r>
    <r>
      <rPr>
        <rFont val="Arial"/>
        <i/>
        <color theme="1"/>
      </rPr>
      <t xml:space="preserve">
At what point</t>
    </r>
    <r>
      <rPr>
        <rFont val="Arial"/>
        <color theme="1"/>
      </rPr>
      <t xml:space="preserve"> in the 7-email sequence (if any) did you feel </t>
    </r>
    <r>
      <rPr>
        <rFont val="Arial"/>
        <b/>
        <color theme="1"/>
      </rPr>
      <t>most compelled to take that action</t>
    </r>
    <r>
      <rPr>
        <rFont val="Arial"/>
        <color theme="1"/>
      </rPr>
      <t xml:space="preserve">, and what specifically triggered that feeling? </t>
    </r>
  </si>
  <si>
    <t xml:space="preserve">Please share any final thoughts, suggestions, or bugs you noticed (if not already).
Your honest feedback is incredibly valuable! </t>
  </si>
  <si>
    <t>Summit Everest before I die</t>
  </si>
  <si>
    <t>Video was very clear about how to do the tests</t>
  </si>
  <si>
    <t>No</t>
  </si>
  <si>
    <t>Mt Victoria - 11,000 ft, 3464m by 21 June (97 days from now)</t>
  </si>
  <si>
    <t>I liked the 1st one giving the score and choice of starting on the weak or strong point.  I also liked the solutions to various barriers e-mail.  The e-mail with the free lesson to best improve my score was also good.</t>
  </si>
  <si>
    <t>I wasn't interested in the peer part of Basecamp.  I don't personally need the social aspect of training to keep me motivated.</t>
  </si>
  <si>
    <t>Yes.  I was motivated to fix my weak link - that was the most motivating for me.</t>
  </si>
  <si>
    <t>After the 2nd e-mail where it gave a description of how my scores helped or hurt my performance.   Next would be the 4th e-mail with the free lesson to help me improve my score.  Last would be the 6th e-mail with the solutions to any barriers if I still had doubts.</t>
  </si>
  <si>
    <t>I liked the approach of highlighting strengths and weaknesses.  The free lesson helps suck you in a bit.  The social aspects (Basecamp and the group sessions) didn't appeal to me.</t>
  </si>
  <si>
    <t>joe</t>
  </si>
  <si>
    <t>hayden</t>
  </si>
  <si>
    <t>Everest befor I die</t>
  </si>
  <si>
    <t>It felt like this was more for people who are already familiar with breathing, although I think the intent was the opposite maybe, especially if its going to be lead gen.  I understand the 5 minutes from a "convenience marketing" message, but I also feel like you're placing such weight on this metric, is it wrong to have people take a little more time or be more clear from the beginning, if you're familiar with breathing this might take you x minutes, if this is new to you, i encourage you to try these tests a few times first to get acquainted, and then take the test.  If you're trying to sell someone something on it, make sure they feel really confident in the score they've gotten.</t>
  </si>
  <si>
    <t>Not a technical issue persay, but google forms is a very limited survey tool.  Everyone also knows it free.  I think using such a generic form with limited formatting, visuals, etc cheapens the experience - especially if you're asking them to buy something afterwards.  I also know its free, and maybe this is just the starting place, and as you scale with more resources to switch to a better survey tool.</t>
  </si>
  <si>
    <t>At the end of the survey it says something along the lines of it already being sent / i should have it already.  that wasn't the case, it arrived xx minutes after which didnt match the impression the survey language provided.</t>
  </si>
  <si>
    <t>I don't fully understand the certificate or the design.  I get if its meant to be that "free thing" you get for doing something as an award, but what are they supposed to do with it?  What value is it offering?  Why not lean into social and UGC and provide them with something shareable as a reward, but also help you with awareness.  Why is the breath index score not up towards the top?  Do people really want an "award" or certificate" for a "poor, very poor, fair, etc" grade?  It would feel more genuine if type of certificate were issued after the courses, to show how much I improved and graduated.  Can this be simpler and maybe more about the badge?</t>
  </si>
  <si>
    <t>I am planing a trip to Peru.
Macchu Puchu, Puno and Titicaca.
No triking only trip to see culture and the country.</t>
  </si>
  <si>
    <t>the "2nd" results email, it was the only place that contained more information that I wanted to know from taking the test.</t>
  </si>
  <si>
    <t>Take advantage of my next group training, the tone was way off for me, heavy handed sales pitch</t>
  </si>
  <si>
    <t>honestly, just to test and learn</t>
  </si>
  <si>
    <r>
      <rPr>
        <rFont val="Arial"/>
        <color theme="1"/>
      </rPr>
      <t xml:space="preserve">At no point, im being overly critical, but it didn't feel genuine, too much to read, too much to keep track of, too many acronyms, some of it felt repetitive, content felt out of order, needs more personalization.  
At the beginning of the survey you ask what my goal is - its a blank slate, which is great for you on the backend to learn more, but it did nothing to help personalize this drip email campaign.  I would think about maybe 3-4 goals that align to your target personas that someone could choose from.  Then based on that goal they selected, send them into a personalized drip with customized content that will resonate with them.  This one drip is trying to be too much to everyone all at once and </t>
    </r>
    <r>
      <rPr>
        <rFont val="Arial"/>
        <b/>
        <color theme="1"/>
      </rPr>
      <t>Im afraid its not going to convert well.</t>
    </r>
  </si>
  <si>
    <t>followup deck to come</t>
  </si>
  <si>
    <t>Everest before I die</t>
  </si>
  <si>
    <t>The BOLT and LOM tests both could be a bit more clear</t>
  </si>
  <si>
    <t xml:space="preserve">Yes it was accurate but my strength and weakness were the same test (BOLT) which was confusing. </t>
  </si>
  <si>
    <t xml:space="preserve">Your 5-minute protocol for improving your BOLT because it gave me something I could immediately action on </t>
  </si>
  <si>
    <t>Yeah I clicked on the things that seemed to give me immediate action like “Improve My BOLT” because it indicated I’d be able to do something right then</t>
  </si>
  <si>
    <t xml:space="preserve">I’d go with the same email I mentioned above. I liked that it gave a real glimpse into the program and gave me something I could do immediately. </t>
  </si>
  <si>
    <t>Impove my running ability
Improve my high altitude climbing. I want to smile and enjoy my climbs. :)</t>
  </si>
  <si>
    <t>The guided part at the end was the most helpful</t>
  </si>
  <si>
    <t xml:space="preserve">It did present properly. However, one thought, I got a poor scoring so it read: who achieved a Recal Breath Index of 46. Recognized with a grade of Poor, corresponding to RBI Level: Breath Beginner. I would recommend for those who score poor or very poor you omit the the rating description and just include the badge level so it would read: who achieved a Recal Breath Index of 46. Recognized with a RBI Level: Breath Beginner </t>
  </si>
  <si>
    <t>I only received two emails</t>
  </si>
  <si>
    <t>I only received two email</t>
  </si>
  <si>
    <t>Fix my weak link</t>
  </si>
  <si>
    <t>only received 2</t>
  </si>
  <si>
    <t>The one with my score</t>
  </si>
  <si>
    <t>N/A</t>
  </si>
  <si>
    <t>Hike the Salkantay Pass in Peru in late April</t>
  </si>
  <si>
    <t>Somewhat motivated to consider it based on my score</t>
  </si>
  <si>
    <t>None</t>
  </si>
  <si>
    <t xml:space="preserve">It was clear- if it wasnt clear the idea of walking the participant through the stepsd for the test were clear. </t>
  </si>
  <si>
    <t>yup</t>
  </si>
  <si>
    <t xml:space="preserve">the initial one was clear and accurate bit the remailing ones were broken and didnt inform correctly. </t>
  </si>
  <si>
    <t xml:space="preserve">I thought the emails were a bit overwhelming. Like, too many. If you could conmsolidate them down to a smaller amount and space them out a bit more themn they might have had a better impression on me. </t>
  </si>
  <si>
    <t>no- I thought it was just a deo mode-</t>
  </si>
  <si>
    <t>Climb 4000m mountain in 5weeks</t>
  </si>
  <si>
    <t xml:space="preserve">As mentioned I thought tyhere were too many emails... </t>
  </si>
  <si>
    <t>yes</t>
  </si>
  <si>
    <t>the 5 min protocol to improve my lowest score</t>
  </si>
  <si>
    <t>the questions</t>
  </si>
  <si>
    <t>yes, fix my weak link. Motivation, to learn more about it, see what the options are.</t>
  </si>
  <si>
    <t>Quite at the beginning, with the lower score. In my case, the emails where too close to each other (within a couple of hours) for me to really be able to answer this, as the latter emails were read out of interest but felt too much for a sale.</t>
  </si>
  <si>
    <t>as per emails sent with specific feedback :)</t>
  </si>
  <si>
    <t>High Lonesome 100</t>
  </si>
  <si>
    <t>Denali Mid may</t>
  </si>
  <si>
    <t>Mont Blanc when I feel fitter</t>
  </si>
  <si>
    <t>K2 Base camp in June</t>
  </si>
  <si>
    <t>Isaac</t>
  </si>
  <si>
    <t>Newton</t>
  </si>
  <si>
    <t>K2 Base camp</t>
  </si>
  <si>
    <t>I want finish a 50k</t>
  </si>
  <si>
    <t xml:space="preserve">Aconcagua in December </t>
  </si>
  <si>
    <t>K2 trek</t>
  </si>
  <si>
    <t>Dispenza</t>
  </si>
  <si>
    <t>Cody</t>
  </si>
  <si>
    <t>Rhodes</t>
  </si>
  <si>
    <t>fidiya8754@lanipe.com</t>
  </si>
  <si>
    <t>Aconcagua by 2027</t>
  </si>
  <si>
    <t>Mount kailash parikrama in june</t>
  </si>
  <si>
    <t>Zone 3 only, vertical movement</t>
  </si>
  <si>
    <t>Mt whitney in September as part of backpacking trip</t>
  </si>
  <si>
    <t xml:space="preserve">Aconcagua in January </t>
  </si>
  <si>
    <t xml:space="preserve">John </t>
  </si>
  <si>
    <t>XXX</t>
  </si>
  <si>
    <t>K2 base camp an lagorongoro pass</t>
  </si>
  <si>
    <t>Leadville 100 by 2025</t>
  </si>
  <si>
    <t>Going for high altitude trek</t>
  </si>
  <si>
    <t>Hamill</t>
  </si>
  <si>
    <t>jomaye2698@futurejs.com</t>
  </si>
  <si>
    <t>Mt. Vulcan</t>
  </si>
  <si>
    <t>Heath</t>
  </si>
  <si>
    <t>Ledger</t>
  </si>
  <si>
    <t>Summit Mt. Olympus</t>
  </si>
  <si>
    <t>Huayhuash in July</t>
  </si>
  <si>
    <t>Jared</t>
  </si>
  <si>
    <t>Leto</t>
  </si>
  <si>
    <t>Mt. Everest</t>
  </si>
  <si>
    <t>Everest before 2026</t>
  </si>
  <si>
    <t>ABC and Mardi Himal trek Nepal</t>
  </si>
  <si>
    <t>ABC and Mardi Himal Trek Nepal</t>
  </si>
  <si>
    <t>climb 6000m peak in nepal</t>
  </si>
  <si>
    <t>MT. Gannett in Late July</t>
  </si>
  <si>
    <t>Peru in October</t>
  </si>
  <si>
    <t>Mt Kilimanjaro climb in October</t>
  </si>
  <si>
    <t>mount kailash kora for 3 days.</t>
  </si>
  <si>
    <t>2x 6200m metres in Ladakh</t>
  </si>
  <si>
    <t>High-altitude mountaineering</t>
  </si>
  <si>
    <t>4600m to 5400m elevation gain in 4 kms with full 4 days  acclimatisation achieved</t>
  </si>
  <si>
    <t>Mount Rainier in July</t>
  </si>
  <si>
    <t>trekking at altitude 3600-4000</t>
  </si>
  <si>
    <t>Run marathon at 4000-6000 feet</t>
  </si>
  <si>
    <t>RBI Score</t>
  </si>
  <si>
    <t>L</t>
  </si>
  <si>
    <t>Mont Blanc next May</t>
  </si>
  <si>
    <t>Everest by Fall</t>
  </si>
  <si>
    <t>Everest before April</t>
  </si>
  <si>
    <t>Everest before August</t>
  </si>
  <si>
    <t>Highest Peak</t>
  </si>
  <si>
    <t>Aconcagua whenever</t>
  </si>
  <si>
    <t>Test 2</t>
  </si>
  <si>
    <t>Aconcagua duh</t>
  </si>
  <si>
    <t>Test 3</t>
  </si>
  <si>
    <t>Test 4</t>
  </si>
  <si>
    <t>Aconcagua in 2089</t>
  </si>
  <si>
    <t>Everest or none</t>
  </si>
  <si>
    <t>Everest or Die</t>
  </si>
  <si>
    <t>Everest Basecamp</t>
  </si>
  <si>
    <t>Everest before autumn</t>
  </si>
  <si>
    <t xml:space="preserve">Madhan </t>
  </si>
  <si>
    <t>Everest in 2026</t>
  </si>
  <si>
    <t>Everest in 2027</t>
  </si>
  <si>
    <t>soyebeg487@cspaus.com</t>
  </si>
  <si>
    <t>Mount Olympus</t>
  </si>
  <si>
    <t>aybuke</t>
  </si>
  <si>
    <t>turker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</si>
</sst>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
    <numFmt numFmtId="165" formatCode="m/d/yyyy, h:mm:ss am/pm"/>
    <numFmt numFmtId="166" formatCode="mm/dd/yyyy, h:mm:ss"/>
    <numFmt numFmtId="167" formatCode="m/d/yyyy h:mm:ss"/>
    <numFmt numFmtId="168" formatCode="m/d/yyyy"/>
    <numFmt numFmtId="169" formatCode="mmmm d"/>
    <numFmt numFmtId="170" formatCode="mm/dd/yyyy, h:mm:ss am/pm"/>
  </numFmts>
  <fonts count="6">
    <font>
      <sz val="10.0"/>
      <color rgb="FF000000"/>
      <name val="Arial"/>
      <scheme val="minor"/>
    </font>
    <font>
      <b/>
      <color theme="1"/>
      <name val="Arial"/>
      <scheme val="minor"/>
    </font>
    <font>
      <color theme="1"/>
      <name val="Arial"/>
      <scheme val="minor"/>
    </font>
    <font>
      <u/>
      <color rgb="FF0000FF"/>
      <name val="Roboto"/>
    </font>
    <font>
      <b/>
      <color rgb="FFFFFFFF"/>
      <name val="Arial"/>
      <scheme val="minor"/>
    </font>
    <font>
      <color rgb="FF434343"/>
      <name val="Arial"/>
      <scheme val="minor"/>
    </font>
  </fonts>
  <fills count="7">
    <fill>
      <patternFill patternType="none"/>
    </fill>
    <fill>
      <patternFill patternType="lightGray"/>
    </fill>
    <fill>
      <patternFill patternType="solid">
        <fgColor rgb="FFF4CCCC"/>
        <bgColor rgb="FFF4CCCC"/>
      </patternFill>
    </fill>
    <fill>
      <patternFill patternType="solid">
        <fgColor rgb="FFFF0000"/>
        <bgColor rgb="FFFF0000"/>
      </patternFill>
    </fill>
    <fill>
      <patternFill patternType="solid">
        <fgColor rgb="FFFFF2CC"/>
        <bgColor rgb="FFFFF2CC"/>
      </patternFill>
    </fill>
    <fill>
      <patternFill patternType="solid">
        <fgColor rgb="FFD9EAD3"/>
        <bgColor rgb="FFD9EAD3"/>
      </patternFill>
    </fill>
    <fill>
      <patternFill patternType="solid">
        <fgColor rgb="FF00FF00"/>
        <bgColor rgb="FF00FF00"/>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Font="1"/>
    <xf borderId="0" fillId="0" fontId="2" numFmtId="164" xfId="0" applyAlignment="1" applyFont="1" applyNumberFormat="1">
      <alignment readingOrder="0"/>
    </xf>
    <xf borderId="0" fillId="0" fontId="2" numFmtId="0" xfId="0" applyAlignment="1" applyFont="1">
      <alignment readingOrder="0" shrinkToFit="0" wrapText="1"/>
    </xf>
    <xf borderId="0" fillId="0" fontId="2" numFmtId="165" xfId="0" applyAlignment="1" applyFont="1" applyNumberFormat="1">
      <alignment readingOrder="0"/>
    </xf>
    <xf borderId="0" fillId="0" fontId="2" numFmtId="0" xfId="0" applyAlignment="1" applyFont="1">
      <alignment horizontal="left" readingOrder="0" shrinkToFit="0" vertical="center" wrapText="0"/>
    </xf>
    <xf borderId="0" fillId="0" fontId="2" numFmtId="166" xfId="0" applyAlignment="1" applyFont="1" applyNumberFormat="1">
      <alignment readingOrder="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7" xfId="0" applyAlignment="1" applyFont="1" applyNumberFormat="1">
      <alignment readingOrder="0" shrinkToFit="0" vertical="center" wrapText="0"/>
    </xf>
    <xf borderId="0" fillId="0" fontId="2" numFmtId="168" xfId="0" applyAlignment="1" applyFont="1" applyNumberFormat="1">
      <alignment readingOrder="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169" xfId="0" applyAlignment="1" applyFont="1" applyNumberFormat="1">
      <alignment readingOrder="0"/>
    </xf>
    <xf borderId="0" fillId="2" fontId="2" numFmtId="0" xfId="0" applyFill="1" applyFont="1"/>
    <xf borderId="0" fillId="0" fontId="2" numFmtId="167"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3"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70" xfId="0" applyAlignment="1" applyFont="1" applyNumberFormat="1">
      <alignment readingOrder="0"/>
    </xf>
    <xf borderId="0" fillId="0" fontId="2" numFmtId="0" xfId="0" applyAlignment="1" applyFont="1">
      <alignment shrinkToFit="0" wrapText="1"/>
    </xf>
    <xf quotePrefix="1" borderId="0" fillId="0" fontId="2" numFmtId="0" xfId="0" applyAlignment="1" applyFont="1">
      <alignment readingOrder="0" shrinkToFit="0" vertical="center" wrapText="0"/>
    </xf>
    <xf borderId="0" fillId="3" fontId="4" numFmtId="0" xfId="0" applyAlignment="1" applyFill="1" applyFont="1">
      <alignment readingOrder="0"/>
    </xf>
    <xf borderId="0" fillId="3" fontId="4" numFmtId="0" xfId="0" applyFont="1"/>
    <xf borderId="0" fillId="4" fontId="2" numFmtId="0" xfId="0" applyAlignment="1" applyFill="1" applyFont="1">
      <alignment readingOrder="0"/>
    </xf>
    <xf borderId="0" fillId="5" fontId="2" numFmtId="0" xfId="0" applyAlignment="1" applyFill="1" applyFont="1">
      <alignment readingOrder="0"/>
    </xf>
    <xf borderId="0" fillId="0" fontId="2"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0" fontId="2" numFmtId="0" xfId="0" applyFont="1"/>
    <xf borderId="0" fillId="0" fontId="2" numFmtId="0" xfId="0" applyAlignment="1" applyFont="1">
      <alignment readingOrder="0" shrinkToFit="0" vertical="center" wrapText="0"/>
    </xf>
    <xf borderId="0" fillId="6" fontId="1" numFmtId="0" xfId="0" applyAlignment="1" applyFill="1" applyFont="1">
      <alignment horizontal="center" readingOrder="0"/>
    </xf>
    <xf borderId="0" fillId="6" fontId="1" numFmtId="0" xfId="0" applyAlignment="1" applyFont="1">
      <alignment readingOrder="0"/>
    </xf>
    <xf borderId="0" fillId="6" fontId="1" numFmtId="0" xfId="0" applyFont="1"/>
    <xf borderId="0" fillId="0" fontId="2" numFmtId="167" xfId="0" applyAlignment="1" applyFont="1" applyNumberFormat="1">
      <alignment horizontal="center" readingOrder="0"/>
    </xf>
    <xf borderId="0" fillId="0" fontId="5" numFmtId="0" xfId="0" applyAlignment="1" applyFont="1">
      <alignment shrinkToFit="0" vertical="center" wrapText="0"/>
    </xf>
    <xf borderId="0" fillId="0" fontId="2" numFmtId="0" xfId="0" applyAlignment="1" applyFont="1">
      <alignment readingOrder="0"/>
    </xf>
    <xf borderId="0" fillId="0" fontId="2" numFmtId="0" xfId="0" applyAlignment="1" applyFont="1">
      <alignment horizontal="center"/>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167"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167" xfId="0" applyAlignment="1" applyFont="1" applyNumberForma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9">
    <tableStyle count="4" pivot="0" name="Form Responses 2-style">
      <tableStyleElement dxfId="1" type="headerRow"/>
      <tableStyleElement dxfId="2" type="firstRowStripe"/>
      <tableStyleElement dxfId="3" type="secondRowStripe"/>
      <tableStyleElement dxfId="4" size="0" type="wholeTable"/>
    </tableStyle>
    <tableStyle count="4" pivot="0" name="Form Responses 9-style">
      <tableStyleElement dxfId="1" type="headerRow"/>
      <tableStyleElement dxfId="2" type="firstRowStripe"/>
      <tableStyleElement dxfId="3" type="secondRowStripe"/>
      <tableStyleElement dxfId="4" size="0" type="wholeTable"/>
    </tableStyle>
    <tableStyle count="4" pivot="0" name="SRS-RBI Internal-style">
      <tableStyleElement dxfId="1" type="headerRow"/>
      <tableStyleElement dxfId="2" type="firstRowStripe"/>
      <tableStyleElement dxfId="3" type="secondRowStripe"/>
      <tableStyleElement dxfId="4" size="0" type="wholeTable"/>
    </tableStyle>
    <tableStyle count="2" pivot="0" name="SRS-RBI Internal-style 2">
      <tableStyleElement dxfId="2" type="firstRowStripe"/>
      <tableStyleElement dxfId="3" type="secondRowStripe"/>
    </tableStyle>
    <tableStyle count="4" pivot="0" name="SRS-Readiness Assessment-style">
      <tableStyleElement dxfId="1" type="headerRow"/>
      <tableStyleElement dxfId="2" type="firstRowStripe"/>
      <tableStyleElement dxfId="3" type="secondRowStripe"/>
      <tableStyleElement dxfId="4" size="0" type="wholeTable"/>
    </tableStyle>
    <tableStyle count="4" pivot="0" name="SRS-Training Timeline data-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 count="4" pivot="0" name="Beta Tester Survey-style">
      <tableStyleElement dxfId="1" type="headerRow"/>
      <tableStyleElement dxfId="2" type="firstRowStripe"/>
      <tableStyleElement dxfId="3" type="secondRowStripe"/>
      <tableStyleElement dxfId="4" size="0" type="wholeTable"/>
    </tableStyle>
    <tableStyle count="4" pivot="0" name="Te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46f3e859-55d0-4b67-8602-23bd9775fcef}">
    <Anchor>
      <Comment id="{f4bd73e3-4797-46f4-ae94-4c8069ea73f7}"/>
    </Anchor>
    <History>
      <Event time="2026-06-15T09:12:30.00" id="{beccbbbc-908f-40e2-865d-9d9d80362597}">
        <Attribution userId="placeholder@email.com" userName="Anthony Lorubbio" userProvider="google-sheets"/>
        <Anchor>
          <Comment id="{f4bd73e3-4797-46f4-ae94-4c8069ea73f7}"/>
        </Anchor>
        <Create/>
      </Event>
      <Event time="2026-06-15T09:12:30.00" id="{54b7f517-0701-44ce-a70e-5fa59ff0e593}">
        <Attribution userId="placeholder@email.com" userName="Anthony Lorubbio" userProvider="google-sheets"/>
        <Anchor>
          <Comment id="{f4bd73e3-4797-46f4-ae94-4c8069ea73f7}"/>
        </Anchor>
        <Assign userId="madhanprasad0.5@gmail.com" userName="madhanprasad0.5@gmail.com" userProvider="google-sheets"/>
      </Event>
    </History>
  </Task>
</Tasks>
</file>

<file path=xl/documenttasks/documenttask3.xml><?xml version="1.0" encoding="utf-8"?>
<Tasks xmlns="http://schemas.microsoft.com/office/tasks/2019/documenttasks"/>
</file>

<file path=xl/drawings/_rels/drawing14.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685800</xdr:colOff>
      <xdr:row>1</xdr:row>
      <xdr:rowOff>228600</xdr:rowOff>
    </xdr:from>
    <xdr:ext cx="1866900" cy="3724275"/>
    <xdr:pic>
      <xdr:nvPicPr>
        <xdr:cNvPr id="125435481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thony Lorubbio" id="{9baaa9ee-081f-473e-9a9b-31625db4dfa2}" providerId="google-sheets"/>
  <x18tc:person displayName="Madhan Prasad" id="{906c0a6e-9604-4560-9c3e-1dd6e775b10d}" providerId="google-sheets"/>
  <x18tc:person displayName="anthony@recaltravel.com" id="{f9da2ff0-2713-483e-bd3a-98381547b500}" userId="anthony@recaltravel.com" providerId="google-sheets"/>
  <x18tc:person displayName="madhanprasad0.5@gmail.com" id="{d4032eed-4a07-469b-b14c-c67614e96fb4}" userId="madhanprasad0.5@gmail.com" providerId="google-sheets"/>
</x18tc:personList>
</file>

<file path=xl/tables/table1.xml><?xml version="1.0" encoding="utf-8"?>
<table xmlns="http://schemas.openxmlformats.org/spreadsheetml/2006/main" ref="A1:E4" displayName="Form_Responses7" name="Form_Responses7" id="2">
  <tableColumns count="5">
    <tableColumn name="Timestamp" id="1"/>
    <tableColumn name="Name" id="2"/>
    <tableColumn name="Company" id="3"/>
    <tableColumn name="Email" id="4"/>
    <tableColumn name="WhatsApp" id="5"/>
  </tableColumns>
  <tableStyleInfo name="Form Responses 9-style" showColumnStripes="0" showFirstColumn="1" showLastColumn="1" showRowStripes="1"/>
</table>
</file>

<file path=xl/tables/table2.xml><?xml version="1.0" encoding="utf-8"?>
<table xmlns="http://schemas.openxmlformats.org/spreadsheetml/2006/main" ref="A1:R143" displayName="Form_Responses2" name="Form_Responses2" id="1">
  <tableColumns count="18">
    <tableColumn name="Timestamp" id="1"/>
    <tableColumn name="First Name" id="2"/>
    <tableColumn name="Last Name" id="3"/>
    <tableColumn name="Email" id="4"/>
    <tableColumn name="My Current Goal is:" id="5"/>
    <tableColumn name="BOLT Score" id="6"/>
    <tableColumn name="CO2TT Score" id="7"/>
    <tableColumn name="MBT Score" id="8"/>
    <tableColumn name="LOM Zones" id="9"/>
    <tableColumn name="ROM Percentage" id="10"/>
    <tableColumn name="Tell us more about your goal:" id="11"/>
    <tableColumn name="1BT Score" id="12"/>
    <tableColumn name="Age" id="13"/>
    <tableColumn name="Gender" id="14"/>
    <tableColumn name="Recal ID" id="15"/>
    <tableColumn name="Calculated Summit-Ready Score" id="16"/>
    <tableColumn name="Calculated Grade" id="17"/>
    <tableColumn name="Calculated Badge" id="18"/>
  </tableColumns>
  <tableStyleInfo name="Form Responses 2-style" showColumnStripes="0" showFirstColumn="1" showLastColumn="1" showRowStripes="1"/>
</table>
</file>

<file path=xl/tables/table3.xml><?xml version="1.0" encoding="utf-8"?>
<table xmlns="http://schemas.openxmlformats.org/spreadsheetml/2006/main" ref="A1:T27" displayName="Form_Responses4" name="Form_Responses4" id="3">
  <tableColumns count="20">
    <tableColumn name="Timestamp" id="1"/>
    <tableColumn name="First Name" id="2"/>
    <tableColumn name="Email" id="3"/>
    <tableColumn name="Age" id="4"/>
    <tableColumn name="Gender" id="5"/>
    <tableColumn name="BOLT" id="6"/>
    <tableColumn name="CO2TT" id="7"/>
    <tableColumn name="MBT" id="8"/>
    <tableColumn name="LOM" id="9"/>
    <tableColumn name="1BT" id="10"/>
    <tableColumn name="Goal" id="11"/>
    <tableColumn name="Goal Notes" id="12"/>
    <tableColumn name="Final Score" id="13"/>
    <tableColumn name="Grade" id="14"/>
    <tableColumn name="Level" id="15"/>
    <tableColumn name="Strongest" id="16"/>
    <tableColumn name="Weakest" id="17"/>
    <tableColumn name="Column 1" id="18"/>
    <tableColumn name="Column 2" id="19"/>
    <tableColumn name="Column 3" id="20"/>
  </tableColumns>
  <tableStyleInfo name="SRS-RBI Internal-style" showColumnStripes="0" showFirstColumn="1" showLastColumn="1" showRowStripes="1"/>
</table>
</file>

<file path=xl/tables/table4.xml><?xml version="1.0" encoding="utf-8"?>
<table xmlns="http://schemas.openxmlformats.org/spreadsheetml/2006/main" headerRowCount="0" ref="E31:E32" displayName="Table_1" name="Table_1" id="4">
  <tableColumns count="1">
    <tableColumn name="Column1" id="1"/>
  </tableColumns>
  <tableStyleInfo name="SRS-RBI Internal-style 2" showColumnStripes="0" showFirstColumn="1" showLastColumn="1" showRowStripes="1"/>
</table>
</file>

<file path=xl/tables/table5.xml><?xml version="1.0" encoding="utf-8"?>
<table xmlns="http://schemas.openxmlformats.org/spreadsheetml/2006/main" ref="A1:Q7" displayName="Form_Responses6" name="Form_Responses6" id="5">
  <tableColumns count="17">
    <tableColumn name="Timestamp" id="1"/>
    <tableColumn name="First Name" id="2"/>
    <tableColumn name="Email" id="3"/>
    <tableColumn name="Sustained Effort Capacity: How well can you sustain moderate aerobic effort for extended periods?" id="4"/>
    <tableColumn name="Load or Fatigue Resistance: When training or hiking with fatigue or load:" id="5"/>
    <tableColumn name="Recovery Between Hard Days: After a hard training day:" id="6"/>
    <tableColumn name="Stress Load Tolerance: When life stress increases (work, travel, poor sleep):" id="7"/>
    <tableColumn name="Fueling During Long Efforts: During long training sessions or hikes:" id="8"/>
    <tableColumn name="GI Tolerance Under Stress: Under fatigue, cold, or exertion:" id="9"/>
    <tableColumn name="Sleep Consistency: In unfamiliar or uncomfortable environments:" id="10"/>
    <tableColumn name="Cold / Environmental Stress: In cold, wind, or bad weather:" id="11"/>
    <tableColumn name="Decision-Making Under Fatigue: When exhausted:" id="12"/>
    <tableColumn name="Response to Discomfort: When progress is slow or uncomfortable:" id="13"/>
    <tableColumn name="Operating While Depleted: I have experience functioning when tired, cold, and under-recovered:" id="14"/>
    <tableColumn name="What is your multi-day endurance experience level?" id="15"/>
    <tableColumn name="What is your highest functional altitude experience?" id="16"/>
    <tableColumn name="Which best describes your past experience preparing and managing expedition systems (gear, nutrition, layering, recovery) ?" id="17"/>
  </tableColumns>
  <tableStyleInfo name="SRS-Readiness Assessment-style" showColumnStripes="0" showFirstColumn="1" showLastColumn="1" showRowStripes="1"/>
</table>
</file>

<file path=xl/tables/table6.xml><?xml version="1.0" encoding="utf-8"?>
<table xmlns="http://schemas.openxmlformats.org/spreadsheetml/2006/main" ref="A1:E23" displayName="Form_Responses5" name="Form_Responses5" id="6">
  <tableColumns count="5">
    <tableColumn name="Timestamp" id="1"/>
    <tableColumn name="Email" id="2"/>
    <tableColumn name="Training Start Date" id="3"/>
    <tableColumn name="Peak Event Date" id="4"/>
    <tableColumn name="Workbook Link" id="5"/>
  </tableColumns>
  <tableStyleInfo name="SRS-Training Timeline data-style" showColumnStripes="0" showFirstColumn="1" showLastColumn="1" showRowStripes="1"/>
</table>
</file>

<file path=xl/tables/table7.xml><?xml version="1.0" encoding="utf-8"?>
<table xmlns="http://schemas.openxmlformats.org/spreadsheetml/2006/main" ref="A1:N178" displayName="Form_Responses" name="Form_Responses" id="7">
  <tableColumns count="14">
    <tableColumn name="Timestamp" id="1"/>
    <tableColumn name="First Name" id="2"/>
    <tableColumn name="Last Name" id="3"/>
    <tableColumn name="Email" id="4"/>
    <tableColumn name="What are your Summit Goals" id="5"/>
    <tableColumn name="BOLT Score" id="6"/>
    <tableColumn name="CO2TT Score" id="7"/>
    <tableColumn name="MBT Score" id="8"/>
    <tableColumn name="LOM Zones" id="9"/>
    <tableColumn name="ROM Percentage" id="10"/>
    <tableColumn name="Recal ID" id="11"/>
    <tableColumn name="Calculated Summit-Ready Score" id="12"/>
    <tableColumn name="Calculated Grade" id="13"/>
    <tableColumn name="Calculated Badge" id="14"/>
  </tableColumns>
  <tableStyleInfo name="Form Responses 1-style" showColumnStripes="0" showFirstColumn="1" showLastColumn="1" showRowStripes="1"/>
</table>
</file>

<file path=xl/tables/table8.xml><?xml version="1.0" encoding="utf-8"?>
<table xmlns="http://schemas.openxmlformats.org/spreadsheetml/2006/main" ref="A1:M33" displayName="Table1" name="Table1" id="9">
  <tableColumns count="13">
    <tableColumn name="Timestamp" id="1"/>
    <tableColumn name="First Name" id="2"/>
    <tableColumn name="Last Name" id="3"/>
    <tableColumn name="Email" id="4"/>
    <tableColumn name="My Current Goal is:" id="5"/>
    <tableColumn name="BOLT Score" id="6"/>
    <tableColumn name="CO2TT Score" id="7"/>
    <tableColumn name="MBT Score" id="8"/>
    <tableColumn name="LOM Zones" id="9"/>
    <tableColumn name="ROM Percentage" id="10"/>
    <tableColumn name="RBI Score" id="11"/>
    <tableColumn name="Grade" id="12"/>
    <tableColumn name="Level" id="13"/>
  </tableColumns>
  <tableStyleInfo name="Test-style" showColumnStripes="0" showFirstColumn="1" showLastColumn="1" showRowStripes="1"/>
</table>
</file>

<file path=xl/tables/table9.xml><?xml version="1.0" encoding="utf-8"?>
<table xmlns="http://schemas.openxmlformats.org/spreadsheetml/2006/main" ref="A1:O8" displayName="Form_Responses3" name="Form_Responses3" id="8">
  <tableColumns count="15">
    <tableColumn name="Timestamp" id="1"/>
    <tableColumn name="First Name" id="2"/>
    <tableColumn name="Last Name" id="3"/>
    <tableColumn name="On a scale of 1-5, how clear were the instructions for each of the 5 tests in the assessment?" id="4"/>
    <tableColumn name="Feel free to elaborate more on what was confusing vs clear:" id="5"/>
    <tableColumn name="Did you encounter any technical issues or confusion while filling out the form?" id="6"/>
    <tableColumn name="If yes, can you explain more?" id="7"/>
    <tableColumn name="Did you receive the first email with your certificate promptly after submitting the form?" id="8"/>
    <tableColumn name="Please open the PDF certificate attached to that 1st email." id="9"/>
    <tableColumn name="On a scale of 1-5, how clear and engaging did you find the emails throughout the sequence? " id="10"/>
    <tableColumn name="Which email in the sequence did you find the most valuable or compelling, and why? " id="11"/>
    <tableColumn name="Which email did you find the least valuable or interesting, and why? " id="12"/>
    <tableColumn name="Did you click on any of the Call to Action buttons (e.g., &quot;Fix My Weak Link,&quot; &quot;Join Basecamp,&quot; &quot;Book a Call&quot;)? If so, what was your motivation at that moment?" id="13"/>
    <tableColumn name="The Million-Dollar Question: _x000a_The goal of this funnel is to get users to enroll in our training program(s). _x000a_At what point in the 7-email sequence (if any) did you feel most compelled to take that action, and what specifically triggered that feeling? " id="14"/>
    <tableColumn name="Please share any final thoughts, suggestions, or bugs you noticed (if not already)._x000a_Your honest feedback is incredibly valuable! " id="15"/>
  </tableColumns>
  <tableStyleInfo name="Beta Tester Surve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 dT="2025-10-08T17:13:43.00" personId="{9baaa9ee-081f-473e-9a9b-31625db4dfa2}" id="{10b02eec-f2a7-4050-bb3e-491e2dda5383}" done="1">
    <x18tc:text xml:space="preserve">@madhanprasad0.5@gmail.com was this you? or real?</x18tc:text>
    <x18tc:mentions>
      <x18tc:mention mentionpersonId="{d4032eed-4a07-469b-b14c-c67614e96fb4}" mentionId="{ff9a2db8-a861-4db2-b09a-e5253bbde122}" startIndex="0" length="26"/>
    </x18tc:mentions>
  </x18tc:threadedComment>
  <x18tc:threadedComment ref="B21" dT="2025-10-08T19:09:47.00" personId="{906c0a6e-9604-4560-9c3e-1dd6e775b10d}" id="{d8f614ec-eab9-45bd-94ca-bb6ac6675b86}" parentId="{10b02eec-f2a7-4050-bb3e-491e2dda5383}">
    <x18tc:text xml:space="preserve">Real</x18tc:text>
  </x18tc:threadedComment>
  <x18tc:threadedComment ref="B21" dT="2025-10-08T19:10:20.00" personId="{906c0a6e-9604-4560-9c3e-1dd6e775b10d}" id="{49897f0c-7d71-4acf-b7a4-3e9a9ce6f95a}" parentId="{10b02eec-f2a7-4050-bb3e-491e2dda5383}">
    <x18tc:text xml:space="preserve">@anthony@recaltravel.com None of my tests will be in this sheet anymore.</x18tc:text>
    <x18tc:mentions>
      <x18tc:mention mentionpersonId="{f9da2ff0-2713-483e-bd3a-98381547b500}" mentionId="{7c8d0683-1097-418a-95b1-4e3d4df482c8}" startIndex="0" length="24"/>
    </x18tc:mentions>
  </x18tc:threadedComment>
  <x18tc:threadedComment ref="F19" dT="2025-10-09T14:46:09.00" personId="{9baaa9ee-081f-473e-9a9b-31625db4dfa2}" id="{08381b47-6bde-4e7c-861d-cb54b67584ee}" done="0">
    <x18tc:text xml:space="preserve">From 10/9: 
Bolt-17
Co2tt-27
Mbt-60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4" dT="2026-06-15T09:12:30.00" personId="{9baaa9ee-081f-473e-9a9b-31625db4dfa2}" id="{f4bd73e3-4797-46f4-ae94-4c8069ea73f7}" done="0">
    <x18tc:text xml:space="preserve">@madhanprasad0.5@gmail.com can you drop anyone who submits their Buteyko Belt size here (or at least in this sheet)?
Assigned to madhanprasad0.5@gmail.com</x18tc:text>
    <x18tc:mentions>
      <x18tc:mention mentionpersonId="{d4032eed-4a07-469b-b14c-c67614e96fb4}" mentionId="{4afbfe89-f2d9-4670-8550-87827d57d821}" startIndex="0" length="26"/>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7" dT="2026-03-25T22:44:38.00" personId="{9baaa9ee-081f-473e-9a9b-31625db4dfa2}" id="{49c6776b-7c83-4fcc-91a3-17af0372542d}" done="0">
    <x18tc:text xml:space="preserve">@madhanprasad0.5@gmail.com can we talk about how the weakest is being calculated here? when I view this, her weakest SHOULD be the LOM. I want to check the underlying calculation.</x18tc:text>
    <x18tc:mentions>
      <x18tc:mention mentionpersonId="{d4032eed-4a07-469b-b14c-c67614e96fb4}" mentionId="{72e13b69-cd41-411f-8cd1-1ba2f0823264}"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bonadventureafrica.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9" Type="http://schemas.openxmlformats.org/officeDocument/2006/relationships/table" Target="../tables/table4.xml"/><Relationship Id="rId5" Type="http://schemas.openxmlformats.org/officeDocument/2006/relationships/vmlDrawing" Target="../drawings/vmlDrawing3.vml"/><Relationship Id="rId8"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ht="22.5" customHeight="1">
      <c r="A1" s="10" t="s">
        <v>9</v>
      </c>
      <c r="B1" s="10" t="s">
        <v>1</v>
      </c>
      <c r="C1" s="10" t="s">
        <v>39</v>
      </c>
      <c r="D1" s="10" t="s">
        <v>5</v>
      </c>
      <c r="E1" s="10" t="s">
        <v>49</v>
      </c>
    </row>
    <row r="2" ht="22.5" customHeight="1">
      <c r="A2" s="12">
        <v>46217.773305717594</v>
      </c>
      <c r="B2" s="15" t="s">
        <v>25</v>
      </c>
      <c r="C2" s="15" t="s">
        <v>63</v>
      </c>
      <c r="D2" s="15" t="s">
        <v>26</v>
      </c>
      <c r="E2" s="15" t="s">
        <v>70</v>
      </c>
    </row>
    <row r="3" ht="22.5" customHeight="1">
      <c r="A3" s="18">
        <v>46228.34047363426</v>
      </c>
      <c r="B3" s="19" t="s">
        <v>80</v>
      </c>
      <c r="C3" s="19" t="s">
        <v>84</v>
      </c>
      <c r="D3" s="19" t="s">
        <v>86</v>
      </c>
      <c r="E3" s="19" t="s">
        <v>88</v>
      </c>
    </row>
    <row r="4" ht="22.5" customHeight="1">
      <c r="A4" s="18">
        <v>46228.36278252315</v>
      </c>
      <c r="B4" s="19" t="s">
        <v>92</v>
      </c>
      <c r="C4" s="21" t="s">
        <v>95</v>
      </c>
      <c r="D4" s="19" t="s">
        <v>108</v>
      </c>
      <c r="E4" s="19" t="s">
        <v>109</v>
      </c>
    </row>
  </sheetData>
  <hyperlinks>
    <hyperlink r:id="rId1" ref="C4"/>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16.75"/>
    <col customWidth="1" min="3" max="3" width="14.5"/>
    <col customWidth="1" min="4" max="4" width="23.25"/>
    <col customWidth="1" min="5" max="5" width="24.88"/>
    <col customWidth="1" min="6" max="6" width="8.5"/>
    <col customWidth="1" min="7" max="7" width="9.88"/>
    <col customWidth="1" min="8" max="8" width="11.38"/>
    <col customWidth="1" min="9" max="9" width="28.13"/>
    <col customWidth="1" min="10" max="10" width="14.75"/>
    <col customWidth="1" min="11" max="11" width="46.63"/>
    <col customWidth="1" min="12" max="14" width="18.88"/>
    <col customWidth="1" hidden="1" min="15" max="15" width="18.88"/>
    <col customWidth="1" min="16" max="16" width="15.88"/>
    <col customWidth="1" min="17" max="20" width="18.88"/>
  </cols>
  <sheetData>
    <row r="1" ht="22.5" customHeight="1">
      <c r="A1" s="8" t="s">
        <v>9</v>
      </c>
      <c r="B1" s="8" t="s">
        <v>31</v>
      </c>
      <c r="C1" s="8" t="s">
        <v>34</v>
      </c>
      <c r="D1" s="8" t="s">
        <v>5</v>
      </c>
      <c r="E1" s="11" t="s">
        <v>41</v>
      </c>
      <c r="F1" s="8" t="s">
        <v>47</v>
      </c>
      <c r="G1" s="8" t="s">
        <v>50</v>
      </c>
      <c r="H1" s="8" t="s">
        <v>52</v>
      </c>
      <c r="I1" s="11" t="s">
        <v>54</v>
      </c>
      <c r="J1" s="8" t="s">
        <v>56</v>
      </c>
      <c r="K1" s="14" t="s">
        <v>59</v>
      </c>
      <c r="L1" s="14" t="s">
        <v>62</v>
      </c>
      <c r="M1" s="14" t="s">
        <v>64</v>
      </c>
      <c r="N1" s="14" t="s">
        <v>67</v>
      </c>
      <c r="O1" s="8" t="s">
        <v>69</v>
      </c>
      <c r="P1" s="8" t="s">
        <v>73</v>
      </c>
      <c r="Q1" s="8" t="s">
        <v>76</v>
      </c>
      <c r="R1" s="8" t="s">
        <v>78</v>
      </c>
    </row>
    <row r="2" ht="22.5" customHeight="1">
      <c r="A2" s="18">
        <v>45912.52433615741</v>
      </c>
      <c r="B2" s="19" t="s">
        <v>85</v>
      </c>
      <c r="C2" s="19" t="s">
        <v>89</v>
      </c>
      <c r="D2" s="19" t="s">
        <v>93</v>
      </c>
      <c r="E2" s="19" t="s">
        <v>94</v>
      </c>
      <c r="F2" s="19">
        <v>20.0</v>
      </c>
      <c r="G2" s="19">
        <v>42.0</v>
      </c>
      <c r="H2" s="19">
        <v>40.0</v>
      </c>
      <c r="I2" s="19" t="s">
        <v>101</v>
      </c>
      <c r="J2" s="19">
        <v>75.0</v>
      </c>
      <c r="K2" s="20"/>
      <c r="L2" s="20"/>
      <c r="M2" s="20"/>
      <c r="N2" s="20"/>
      <c r="O2" s="22" t="str">
        <f t="array" ref="O2:O3">IF(A2:A241="",, XLOOKUP(D2:D241, 'Recal IDs Log'!E2:E241, 'Recal IDs Log'!B2:B241, "", 0, -1))</f>
        <v>#REF!</v>
      </c>
      <c r="P2" s="22">
        <f>IF(A2="",,IF(ISNUMBER(L2), LET(bolt_score, F2, co2tt_score, G2, mbt_score, H2, lom_text, I2, balloon_score, L2, age, M2, bolt_tier, IFS(bolt_score&lt;15,0, bolt_score&lt;20,1, bolt_score&lt;25,2, bolt_score&lt;30,3, bolt_score&lt;35,4, bolt_score&gt;=35,5), co2tt_tier, IFS(co2tt_score&lt;25,0, co2tt_score&lt;40,1, co2tt_score&lt;55,2, co2tt_score&lt;70,3, co2tt_score&lt;85,4, co2tt_score&gt;=85,5), mbt_tier, IFS(mbt_score&lt;25,0, mbt_score&lt;40,1, mbt_score&lt;55,2, mbt_score&lt;70,3, mbt_score&lt;85,4, mbt_score&gt;=85,5), lom_tier, IFS(ISNUMBER(SEARCH("360",lom_text)),5, ISNUMBER(SEARCH("horizontal",lom_text)),4, ISNUMBER(SEARCH("1 &amp; 2",lom_text)),3, ISNUMBER(SEARCH("2 Only",lom_text)),2, ISNUMBER(SEARCH("3 &amp; 2",lom_text)),1, TRUE, 0), bal_raw, IFS(balloon_score&lt;7,0, balloon_score&lt;11,1, balloon_score&lt;14,2, balloon_score&lt;17,3, balloon_score&lt;19,4, balloon_score&gt;=19,5), bal_tier, IF(age&gt;65, MIN(bal_raw+1, 5), bal_raw), total_weighted, (bolt_tier*1) + (co2tt_tier*2) + (mbt_tier*3) + (lom_tier*2) + (bal_tier*2), ROUND((total_weighted/50)*100,0)), LET(bolt_score,F2,co2tt_score,G2,mbt_score,H2,lom_text,I2,rom_score,J2,bolt_tier,IFS(bolt_score&lt;15,0,bolt_score&lt;=19,1,bolt_score&lt;=24,2,bolt_score&lt;=29,3,bolt_score&lt;=34,4,bolt_score&gt;=35,5,TRUE,0),co2tt_tier,IFS(co2tt_score&lt;25,0,co2tt_score&lt;=39,1,co2tt_score&lt;=54,2,co2tt_score&lt;=69,3,co2tt_score&lt;=84,4,co2tt_score&gt;=85,5,TRUE,0),mbt_tier,IFS(mbt_score&lt;25,0,mbt_score&lt;=39,1,mbt_score&lt;=54,2,mbt_score&lt;=69,3,mbt_score&lt;=84,4,mbt_score&gt;=85,5,TRUE,0),rom_tier,IFS(rom_score&lt;60,0,rom_score&lt;=74,1,rom_score&lt;=89,2,rom_score&lt;=104,3,rom_score&lt;=119,4,rom_score&gt;=120,5,TRUE,0),lom_tier,IFS(ISNUMBER(SEARCH("zone 3 only",lom_text)),0,ISNUMBER(SEARCH("zone 3",lom_text))*ISNUMBER(SEARCH("zone 2",lom_text)),1,ISNUMBER(SEARCH("zone 2",lom_text))*NOT(ISNUMBER(SEARCH("zone 1",lom_text)))*NOT(ISNUMBER(SEARCH("zone 3",lom_text))),2,ISNUMBER(SEARCH("zone 1",lom_text))*ISNUMBER(SEARCH("zone 2",lom_text)),3,ISNUMBER(SEARCH("zone 1",lom_text))*ISNUMBER(SEARCH("horizontal",lom_text)),4,ISNUMBER(SEARCH("360",lom_text)),5,TRUE,0),total_weighted_score,(bolt_tier*1)+(co2tt_tier*2)+(mbt_tier*3)+(lom_tier*3)+(rom_tier*1),ROUND((total_weighted_score/50)*100,0))))</f>
        <v>46</v>
      </c>
      <c r="Q2" s="22" t="str">
        <f t="shared" ref="Q2:Q143" si="1">IF(P2="",,IFS(P2&gt;=93,"Ultra",P2&gt;=80,"Great",P2&gt;=65,"Good",P2&gt;=50,"Fair",P2&gt;=31,"Poor",P2&gt;=0,"Very Poor"))</f>
        <v>Poor</v>
      </c>
      <c r="R2" s="22" t="str">
        <f t="shared" ref="R2:R143" si="2">IF(P2="",,IFS(P2&gt;=93,"Breath Master",P2&gt;=80,"Breathwork-Trained",P2&gt;=65,"Functional Breather",P2&gt;=50,"Breather-in-Training",P2&gt;=31,"Breath Beginner",P2&gt;=0,"Breath-Aware"))</f>
        <v>Breath Beginner</v>
      </c>
    </row>
    <row r="3" ht="22.5" customHeight="1">
      <c r="A3" s="18">
        <v>45912.660105393516</v>
      </c>
      <c r="B3" s="19" t="s">
        <v>226</v>
      </c>
      <c r="C3" s="19" t="s">
        <v>229</v>
      </c>
      <c r="D3" s="19" t="s">
        <v>231</v>
      </c>
      <c r="E3" s="19" t="s">
        <v>234</v>
      </c>
      <c r="F3" s="19">
        <v>26.0</v>
      </c>
      <c r="G3" s="19">
        <v>64.0</v>
      </c>
      <c r="H3" s="19">
        <v>65.0</v>
      </c>
      <c r="I3" s="19" t="s">
        <v>101</v>
      </c>
      <c r="J3" s="19">
        <v>93.75</v>
      </c>
      <c r="K3" s="20"/>
      <c r="L3" s="20"/>
      <c r="M3" s="20"/>
      <c r="N3" s="20"/>
      <c r="O3" s="22" t="str">
        <f t="array" ref="O3:O4">IF(A3:A241="",, XLOOKUP(D3:D241, 'Recal IDs Log'!E2:E241, 'Recal IDs Log'!B2:B241, "", 0, -1))</f>
        <v>#REF!</v>
      </c>
      <c r="P3" s="22">
        <f t="shared" ref="P3:P143" si="3">IF(A3="",,LET(bolt_score,F3,co2tt_score,G3,mbt_score,H3,lom_text,I3,rom_score,J3,bolt_tier,IFS(bolt_score&lt;15,0,bolt_score&lt;=19,1,bolt_score&lt;=24,2,bolt_score&lt;=29,3,bolt_score&lt;=34,4,bolt_score&gt;=35,5,TRUE,0),co2tt_tier,IFS(co2tt_score&lt;25,0,co2tt_score&lt;=39,1,co2tt_score&lt;=54,2,co2tt_score&lt;=69,3,co2tt_score&lt;=84,4,co2tt_score&gt;=85,5,TRUE,0),mbt_tier,IFS(mbt_score&lt;25,0,mbt_score&lt;=39,1,mbt_score&lt;=54,2,mbt_score&lt;=69,3,mbt_score&lt;=84,4,mbt_score&gt;=85,5,TRUE,0),rom_tier,IFS(rom_score&lt;60,0,rom_score&lt;=74,1,rom_score&lt;=89,2,rom_score&lt;=104,3,rom_score&lt;=119,4,rom_score&gt;=120,5,TRUE,0),lom_tier,IFS(ISNUMBER(SEARCH("zone 3 only",lom_text)),0,ISNUMBER(SEARCH("zone 3",lom_text))*ISNUMBER(SEARCH("zone 2",lom_text)),1,ISNUMBER(SEARCH("zone 2",lom_text))*NOT(ISNUMBER(SEARCH("zone 1",lom_text)))*NOT(ISNUMBER(SEARCH("zone 3",lom_text))),2,ISNUMBER(SEARCH("zone 1",lom_text))*ISNUMBER(SEARCH("zone 2",lom_text)),3,ISNUMBER(SEARCH("zone 1",lom_text))*ISNUMBER(SEARCH("horizontal",lom_text)),4,ISNUMBER(SEARCH("360",lom_text)),5,TRUE,0),total_weighted_score,(bolt_tier*1)+(co2tt_tier*2)+(mbt_tier*3)+(lom_tier*3)+(rom_tier*1),(total_weighted_score/50)*100))</f>
        <v>60</v>
      </c>
      <c r="Q3" s="22" t="str">
        <f t="shared" si="1"/>
        <v>Fair</v>
      </c>
      <c r="R3" s="22" t="str">
        <f t="shared" si="2"/>
        <v>Breather-in-Training</v>
      </c>
    </row>
    <row r="4" ht="22.5" customHeight="1">
      <c r="A4" s="18">
        <v>45912.805809363424</v>
      </c>
      <c r="B4" s="19" t="s">
        <v>300</v>
      </c>
      <c r="C4" s="19" t="s">
        <v>301</v>
      </c>
      <c r="D4" s="19" t="s">
        <v>302</v>
      </c>
      <c r="E4" s="19" t="s">
        <v>303</v>
      </c>
      <c r="F4" s="19">
        <v>21.0</v>
      </c>
      <c r="G4" s="19">
        <v>48.0</v>
      </c>
      <c r="H4" s="19">
        <v>45.0</v>
      </c>
      <c r="I4" s="19" t="s">
        <v>101</v>
      </c>
      <c r="J4" s="19">
        <v>140.0</v>
      </c>
      <c r="K4" s="20"/>
      <c r="L4" s="20"/>
      <c r="M4" s="20"/>
      <c r="N4" s="20"/>
      <c r="O4" s="22" t="str">
        <f t="array" ref="O4:O5">IF(A4:A241="",, XLOOKUP(D4:D241, 'Recal IDs Log'!E3:E241, 'Recal IDs Log'!B3:B241, "", 0, -1))</f>
        <v>#REF!</v>
      </c>
      <c r="P4" s="22">
        <f t="shared" si="3"/>
        <v>52</v>
      </c>
      <c r="Q4" s="22" t="str">
        <f t="shared" si="1"/>
        <v>Fair</v>
      </c>
      <c r="R4" s="22" t="str">
        <f t="shared" si="2"/>
        <v>Breather-in-Training</v>
      </c>
    </row>
    <row r="5" ht="22.5" customHeight="1">
      <c r="A5" s="18">
        <v>45912.81318902777</v>
      </c>
      <c r="B5" s="19" t="s">
        <v>326</v>
      </c>
      <c r="C5" s="19" t="s">
        <v>329</v>
      </c>
      <c r="D5" s="19" t="s">
        <v>330</v>
      </c>
      <c r="E5" s="19" t="s">
        <v>331</v>
      </c>
      <c r="F5" s="19">
        <v>27.0</v>
      </c>
      <c r="G5" s="19">
        <v>53.0</v>
      </c>
      <c r="H5" s="19">
        <v>38.0</v>
      </c>
      <c r="I5" s="19" t="s">
        <v>101</v>
      </c>
      <c r="J5" s="19">
        <v>64.28</v>
      </c>
      <c r="K5" s="20"/>
      <c r="L5" s="20"/>
      <c r="M5" s="20"/>
      <c r="N5" s="20"/>
      <c r="O5" s="22" t="str">
        <f t="array" ref="O5:O6">IF(A5:A241="",, XLOOKUP(D5:D241, 'Recal IDs Log'!E4:E241, 'Recal IDs Log'!B4:B241, "", 0, -1))</f>
        <v>#REF!</v>
      </c>
      <c r="P5" s="22">
        <f t="shared" si="3"/>
        <v>40</v>
      </c>
      <c r="Q5" s="22" t="str">
        <f t="shared" si="1"/>
        <v>Poor</v>
      </c>
      <c r="R5" s="22" t="str">
        <f t="shared" si="2"/>
        <v>Breath Beginner</v>
      </c>
    </row>
    <row r="6" ht="22.5" customHeight="1">
      <c r="A6" s="18">
        <v>45912.8205409375</v>
      </c>
      <c r="B6" s="19" t="s">
        <v>355</v>
      </c>
      <c r="C6" s="19" t="s">
        <v>356</v>
      </c>
      <c r="D6" s="19" t="s">
        <v>359</v>
      </c>
      <c r="E6" s="19" t="s">
        <v>361</v>
      </c>
      <c r="F6" s="19">
        <v>22.0</v>
      </c>
      <c r="G6" s="19">
        <v>54.0</v>
      </c>
      <c r="H6" s="19">
        <v>36.0</v>
      </c>
      <c r="I6" s="19" t="s">
        <v>101</v>
      </c>
      <c r="J6" s="19">
        <v>123.0</v>
      </c>
      <c r="K6" s="20"/>
      <c r="L6" s="20"/>
      <c r="M6" s="20"/>
      <c r="N6" s="20"/>
      <c r="O6" s="22" t="str">
        <f t="array" ref="O6:O7">IF(A6:A241="",, XLOOKUP(D6:D241, 'Recal IDs Log'!E5:E241, 'Recal IDs Log'!B5:B241, "", 0, -1))</f>
        <v>#REF!</v>
      </c>
      <c r="P6" s="22">
        <f t="shared" si="3"/>
        <v>46</v>
      </c>
      <c r="Q6" s="22" t="str">
        <f t="shared" si="1"/>
        <v>Poor</v>
      </c>
      <c r="R6" s="22" t="str">
        <f t="shared" si="2"/>
        <v>Breath Beginner</v>
      </c>
    </row>
    <row r="7" ht="22.5" customHeight="1">
      <c r="A7" s="18">
        <v>45912.83305597222</v>
      </c>
      <c r="B7" s="19" t="s">
        <v>300</v>
      </c>
      <c r="C7" s="19" t="s">
        <v>301</v>
      </c>
      <c r="D7" s="19" t="s">
        <v>302</v>
      </c>
      <c r="E7" s="19" t="s">
        <v>382</v>
      </c>
      <c r="F7" s="19">
        <v>0.0</v>
      </c>
      <c r="G7" s="19">
        <v>0.0</v>
      </c>
      <c r="H7" s="19">
        <v>0.0</v>
      </c>
      <c r="I7" s="19" t="s">
        <v>385</v>
      </c>
      <c r="J7" s="19">
        <v>0.0</v>
      </c>
      <c r="K7" s="20"/>
      <c r="L7" s="20"/>
      <c r="M7" s="20"/>
      <c r="N7" s="20"/>
      <c r="O7" s="22" t="str">
        <f t="array" ref="O7:O8">IF(A7:A241="",, XLOOKUP(D7:D241, 'Recal IDs Log'!E6:E241, 'Recal IDs Log'!B6:B241, "", 0, -1))</f>
        <v>#REF!</v>
      </c>
      <c r="P7" s="22">
        <f t="shared" si="3"/>
        <v>0</v>
      </c>
      <c r="Q7" s="22" t="str">
        <f t="shared" si="1"/>
        <v>Very Poor</v>
      </c>
      <c r="R7" s="22" t="str">
        <f t="shared" si="2"/>
        <v>Breath-Aware</v>
      </c>
    </row>
    <row r="8" ht="22.5" customHeight="1">
      <c r="A8" s="18">
        <v>45912.87366693287</v>
      </c>
      <c r="B8" s="19" t="s">
        <v>396</v>
      </c>
      <c r="C8" s="19" t="s">
        <v>397</v>
      </c>
      <c r="D8" s="19" t="s">
        <v>398</v>
      </c>
      <c r="E8" s="19" t="s">
        <v>399</v>
      </c>
      <c r="F8" s="19">
        <v>20.0</v>
      </c>
      <c r="G8" s="19">
        <v>30.0</v>
      </c>
      <c r="H8" s="19">
        <v>47.0</v>
      </c>
      <c r="I8" s="19" t="s">
        <v>101</v>
      </c>
      <c r="J8" s="19">
        <v>95.0</v>
      </c>
      <c r="K8" s="20"/>
      <c r="L8" s="20"/>
      <c r="M8" s="20"/>
      <c r="N8" s="20"/>
      <c r="O8" s="22" t="str">
        <f t="array" ref="O8:O9">IF(A8:A241="",, XLOOKUP(D8:D241, 'Recal IDs Log'!E7:E241, 'Recal IDs Log'!B7:B241, "", 0, -1))</f>
        <v>#REF!</v>
      </c>
      <c r="P8" s="22">
        <f t="shared" si="3"/>
        <v>44</v>
      </c>
      <c r="Q8" s="22" t="str">
        <f t="shared" si="1"/>
        <v>Poor</v>
      </c>
      <c r="R8" s="22" t="str">
        <f t="shared" si="2"/>
        <v>Breath Beginner</v>
      </c>
    </row>
    <row r="9" ht="22.5" customHeight="1">
      <c r="A9" s="18">
        <v>45915.74815864583</v>
      </c>
      <c r="B9" s="19" t="s">
        <v>417</v>
      </c>
      <c r="C9" s="19" t="s">
        <v>421</v>
      </c>
      <c r="D9" s="19" t="s">
        <v>422</v>
      </c>
      <c r="E9" s="19" t="s">
        <v>426</v>
      </c>
      <c r="F9" s="19">
        <v>26.0</v>
      </c>
      <c r="G9" s="19">
        <v>47.0</v>
      </c>
      <c r="H9" s="19">
        <v>48.0</v>
      </c>
      <c r="I9" s="19" t="s">
        <v>438</v>
      </c>
      <c r="J9" s="19">
        <v>96.1</v>
      </c>
      <c r="K9" s="20"/>
      <c r="L9" s="20"/>
      <c r="M9" s="20"/>
      <c r="N9" s="20"/>
      <c r="O9" s="22" t="str">
        <f t="array" ref="O9:O10">IF(A9:A241="",, XLOOKUP(D9:D241, 'Recal IDs Log'!E8:E241, 'Recal IDs Log'!B8:B241, "", 0, -1))</f>
        <v>#REF!</v>
      </c>
      <c r="P9" s="22">
        <f t="shared" si="3"/>
        <v>56</v>
      </c>
      <c r="Q9" s="22" t="str">
        <f t="shared" si="1"/>
        <v>Fair</v>
      </c>
      <c r="R9" s="22" t="str">
        <f t="shared" si="2"/>
        <v>Breather-in-Training</v>
      </c>
    </row>
    <row r="10" ht="22.5" customHeight="1">
      <c r="A10" s="18">
        <v>45915.80814204861</v>
      </c>
      <c r="B10" s="19" t="s">
        <v>195</v>
      </c>
      <c r="C10" s="19" t="s">
        <v>498</v>
      </c>
      <c r="D10" s="19" t="s">
        <v>503</v>
      </c>
      <c r="E10" s="19" t="s">
        <v>505</v>
      </c>
      <c r="F10" s="19">
        <v>10.0</v>
      </c>
      <c r="G10" s="19">
        <v>29.75</v>
      </c>
      <c r="H10" s="19">
        <v>20.0</v>
      </c>
      <c r="I10" s="19" t="s">
        <v>438</v>
      </c>
      <c r="J10" s="19">
        <v>47.6</v>
      </c>
      <c r="K10" s="20"/>
      <c r="L10" s="20"/>
      <c r="M10" s="20"/>
      <c r="N10" s="20"/>
      <c r="O10" s="22" t="str">
        <f t="array" ref="O10:O11">IF(A10:A241="",, XLOOKUP(D10:D241, 'Recal IDs Log'!E9:E241, 'Recal IDs Log'!B9:B241, "", 0, -1))</f>
        <v>#REF!</v>
      </c>
      <c r="P10" s="22">
        <f t="shared" si="3"/>
        <v>28</v>
      </c>
      <c r="Q10" s="22" t="str">
        <f t="shared" si="1"/>
        <v>Very Poor</v>
      </c>
      <c r="R10" s="22" t="str">
        <f t="shared" si="2"/>
        <v>Breath-Aware</v>
      </c>
    </row>
    <row r="11" ht="22.5" customHeight="1">
      <c r="A11" s="18">
        <v>45915.81471384259</v>
      </c>
      <c r="B11" s="19" t="s">
        <v>560</v>
      </c>
      <c r="C11" s="19" t="s">
        <v>563</v>
      </c>
      <c r="D11" s="19" t="s">
        <v>567</v>
      </c>
      <c r="E11" s="19" t="s">
        <v>570</v>
      </c>
      <c r="F11" s="19">
        <v>17.0</v>
      </c>
      <c r="G11" s="19">
        <v>61.0</v>
      </c>
      <c r="H11" s="19">
        <v>30.0</v>
      </c>
      <c r="I11" s="19" t="s">
        <v>101</v>
      </c>
      <c r="J11" s="19">
        <v>38.5</v>
      </c>
      <c r="K11" s="20"/>
      <c r="L11" s="20"/>
      <c r="M11" s="20"/>
      <c r="N11" s="20"/>
      <c r="O11" s="22" t="str">
        <f t="array" ref="O11:O12">IF(A11:A241="",, XLOOKUP(D11:D241, 'Recal IDs Log'!E10:E241, 'Recal IDs Log'!B10:B241, "", 0, -1))</f>
        <v>#REF!</v>
      </c>
      <c r="P11" s="22">
        <f t="shared" si="3"/>
        <v>38</v>
      </c>
      <c r="Q11" s="22" t="str">
        <f t="shared" si="1"/>
        <v>Poor</v>
      </c>
      <c r="R11" s="22" t="str">
        <f t="shared" si="2"/>
        <v>Breath Beginner</v>
      </c>
    </row>
    <row r="12" ht="22.5" customHeight="1">
      <c r="A12" s="18">
        <v>45915.89736611111</v>
      </c>
      <c r="B12" s="19" t="s">
        <v>624</v>
      </c>
      <c r="C12" s="19" t="s">
        <v>625</v>
      </c>
      <c r="D12" s="19" t="s">
        <v>627</v>
      </c>
      <c r="E12" s="19" t="s">
        <v>628</v>
      </c>
      <c r="F12" s="19">
        <v>21.0</v>
      </c>
      <c r="G12" s="19">
        <v>42.0</v>
      </c>
      <c r="H12" s="19">
        <v>30.0</v>
      </c>
      <c r="I12" s="19" t="s">
        <v>101</v>
      </c>
      <c r="J12" s="19">
        <v>45.0</v>
      </c>
      <c r="K12" s="20"/>
      <c r="L12" s="20"/>
      <c r="M12" s="20"/>
      <c r="N12" s="20"/>
      <c r="O12" s="22" t="str">
        <f t="array" ref="O12:O13">IF(A12:A241="",, XLOOKUP(D12:D241, 'Recal IDs Log'!E11:E241, 'Recal IDs Log'!B11:B241, "", 0, -1))</f>
        <v>#REF!</v>
      </c>
      <c r="P12" s="22">
        <f t="shared" si="3"/>
        <v>36</v>
      </c>
      <c r="Q12" s="22" t="str">
        <f t="shared" si="1"/>
        <v>Poor</v>
      </c>
      <c r="R12" s="22" t="str">
        <f t="shared" si="2"/>
        <v>Breath Beginner</v>
      </c>
    </row>
    <row r="13" ht="22.5" customHeight="1">
      <c r="A13" s="18">
        <v>45916.14416523148</v>
      </c>
      <c r="B13" s="19" t="s">
        <v>659</v>
      </c>
      <c r="C13" s="19" t="s">
        <v>498</v>
      </c>
      <c r="D13" s="19" t="s">
        <v>664</v>
      </c>
      <c r="E13" s="19" t="s">
        <v>667</v>
      </c>
      <c r="F13" s="19">
        <v>14.0</v>
      </c>
      <c r="G13" s="19">
        <v>50.0</v>
      </c>
      <c r="H13" s="19">
        <v>28.0</v>
      </c>
      <c r="I13" s="19" t="s">
        <v>101</v>
      </c>
      <c r="J13" s="19">
        <v>78.5</v>
      </c>
      <c r="K13" s="20"/>
      <c r="L13" s="20"/>
      <c r="M13" s="20"/>
      <c r="N13" s="20"/>
      <c r="O13" s="22" t="str">
        <f t="array" ref="O13:O14">IF(A13:A241="",, XLOOKUP(D13:D241, 'Recal IDs Log'!E12:E241, 'Recal IDs Log'!B12:B241, "", 0, -1))</f>
        <v>#REF!</v>
      </c>
      <c r="P13" s="22">
        <f t="shared" si="3"/>
        <v>36</v>
      </c>
      <c r="Q13" s="22" t="str">
        <f t="shared" si="1"/>
        <v>Poor</v>
      </c>
      <c r="R13" s="22" t="str">
        <f t="shared" si="2"/>
        <v>Breath Beginner</v>
      </c>
    </row>
    <row r="14" ht="22.5" customHeight="1">
      <c r="A14" s="18">
        <v>45917.985819062495</v>
      </c>
      <c r="B14" s="19" t="s">
        <v>702</v>
      </c>
      <c r="C14" s="19" t="s">
        <v>653</v>
      </c>
      <c r="D14" s="19" t="s">
        <v>707</v>
      </c>
      <c r="E14" s="19" t="s">
        <v>709</v>
      </c>
      <c r="F14" s="19">
        <v>18.0</v>
      </c>
      <c r="G14" s="19">
        <v>53.0</v>
      </c>
      <c r="H14" s="19">
        <v>49.0</v>
      </c>
      <c r="I14" s="19" t="s">
        <v>715</v>
      </c>
      <c r="J14" s="19">
        <v>82.7</v>
      </c>
      <c r="K14" s="20"/>
      <c r="L14" s="20"/>
      <c r="M14" s="20"/>
      <c r="N14" s="20"/>
      <c r="O14" s="22" t="str">
        <f t="array" ref="O14:O15">IF(A14:A241="",, XLOOKUP(D14:D241, 'Recal IDs Log'!E13:E241, 'Recal IDs Log'!B13:B241, "", 0, -1))</f>
        <v>#REF!</v>
      </c>
      <c r="P14" s="22">
        <f t="shared" si="3"/>
        <v>32</v>
      </c>
      <c r="Q14" s="22" t="str">
        <f t="shared" si="1"/>
        <v>Poor</v>
      </c>
      <c r="R14" s="22" t="str">
        <f t="shared" si="2"/>
        <v>Breath Beginner</v>
      </c>
    </row>
    <row r="15" ht="22.5" customHeight="1">
      <c r="A15" s="18">
        <v>45918.044909502314</v>
      </c>
      <c r="B15" s="19" t="s">
        <v>744</v>
      </c>
      <c r="C15" s="19" t="s">
        <v>746</v>
      </c>
      <c r="D15" s="19" t="s">
        <v>750</v>
      </c>
      <c r="E15" s="19" t="s">
        <v>753</v>
      </c>
      <c r="F15" s="19">
        <v>26.0</v>
      </c>
      <c r="G15" s="19">
        <v>42.0</v>
      </c>
      <c r="H15" s="19">
        <v>33.0</v>
      </c>
      <c r="I15" s="19" t="s">
        <v>101</v>
      </c>
      <c r="J15" s="19">
        <v>52.6</v>
      </c>
      <c r="K15" s="20"/>
      <c r="L15" s="20"/>
      <c r="M15" s="20"/>
      <c r="N15" s="20"/>
      <c r="O15" s="22" t="str">
        <f t="array" ref="O15:O16">IF(A15:A241="",, XLOOKUP(D15:D241, 'Recal IDs Log'!E14:E241, 'Recal IDs Log'!B14:B241, "", 0, -1))</f>
        <v>#REF!</v>
      </c>
      <c r="P15" s="22">
        <f t="shared" si="3"/>
        <v>38</v>
      </c>
      <c r="Q15" s="22" t="str">
        <f t="shared" si="1"/>
        <v>Poor</v>
      </c>
      <c r="R15" s="22" t="str">
        <f t="shared" si="2"/>
        <v>Breath Beginner</v>
      </c>
    </row>
    <row r="16" ht="22.5" customHeight="1">
      <c r="A16" s="18">
        <v>45918.74272023149</v>
      </c>
      <c r="B16" s="19" t="s">
        <v>790</v>
      </c>
      <c r="C16" s="19" t="s">
        <v>793</v>
      </c>
      <c r="D16" s="19" t="s">
        <v>795</v>
      </c>
      <c r="E16" s="19" t="s">
        <v>798</v>
      </c>
      <c r="F16" s="19">
        <v>25.0</v>
      </c>
      <c r="G16" s="19">
        <v>36.0</v>
      </c>
      <c r="H16" s="19">
        <v>65.0</v>
      </c>
      <c r="I16" s="19" t="s">
        <v>101</v>
      </c>
      <c r="J16" s="19">
        <v>57.14</v>
      </c>
      <c r="K16" s="20"/>
      <c r="L16" s="20"/>
      <c r="M16" s="20"/>
      <c r="N16" s="20"/>
      <c r="O16" s="22" t="str">
        <f t="array" ref="O16:O17">IF(A16:A241="",, XLOOKUP(D16:D241, 'Recal IDs Log'!E15:E241, 'Recal IDs Log'!B15:B241, "", 0, -1))</f>
        <v>#REF!</v>
      </c>
      <c r="P16" s="22">
        <f t="shared" si="3"/>
        <v>46</v>
      </c>
      <c r="Q16" s="22" t="str">
        <f t="shared" si="1"/>
        <v>Poor</v>
      </c>
      <c r="R16" s="22" t="str">
        <f t="shared" si="2"/>
        <v>Breath Beginner</v>
      </c>
    </row>
    <row r="17" ht="22.5" customHeight="1">
      <c r="A17" s="18">
        <v>45919.62374850694</v>
      </c>
      <c r="B17" s="19" t="s">
        <v>836</v>
      </c>
      <c r="C17" s="19" t="s">
        <v>840</v>
      </c>
      <c r="D17" s="19" t="s">
        <v>842</v>
      </c>
      <c r="E17" s="19" t="s">
        <v>844</v>
      </c>
      <c r="F17" s="19">
        <v>36.0</v>
      </c>
      <c r="G17" s="19">
        <v>72.0</v>
      </c>
      <c r="H17" s="19">
        <v>63.0</v>
      </c>
      <c r="I17" s="19" t="s">
        <v>370</v>
      </c>
      <c r="J17" s="19">
        <v>91.0</v>
      </c>
      <c r="K17" s="20"/>
      <c r="L17" s="20"/>
      <c r="M17" s="20"/>
      <c r="N17" s="20"/>
      <c r="O17" s="22" t="str">
        <f t="array" ref="O17:O18">IF(A17:A241="",, XLOOKUP(D17:D241, 'Recal IDs Log'!E16:E241, 'Recal IDs Log'!B16:B241, "", 0, -1))</f>
        <v>#REF!</v>
      </c>
      <c r="P17" s="22">
        <f t="shared" si="3"/>
        <v>80</v>
      </c>
      <c r="Q17" s="22" t="str">
        <f t="shared" si="1"/>
        <v>Great</v>
      </c>
      <c r="R17" s="22" t="str">
        <f t="shared" si="2"/>
        <v>Breathwork-Trained</v>
      </c>
    </row>
    <row r="18" ht="22.5" customHeight="1">
      <c r="A18" s="18">
        <v>45925.71894011574</v>
      </c>
      <c r="B18" s="19" t="s">
        <v>886</v>
      </c>
      <c r="C18" s="19" t="s">
        <v>889</v>
      </c>
      <c r="D18" s="19" t="s">
        <v>891</v>
      </c>
      <c r="E18" s="19" t="s">
        <v>163</v>
      </c>
      <c r="F18" s="19">
        <v>22.0</v>
      </c>
      <c r="G18" s="19">
        <v>42.0</v>
      </c>
      <c r="H18" s="19">
        <v>25.0</v>
      </c>
      <c r="I18" s="19" t="s">
        <v>101</v>
      </c>
      <c r="J18" s="19">
        <v>52.6</v>
      </c>
      <c r="K18" s="32" t="s">
        <v>902</v>
      </c>
      <c r="L18" s="20"/>
      <c r="M18" s="20"/>
      <c r="N18" s="20"/>
      <c r="O18" s="22" t="str">
        <f t="array" ref="O18:O19">IF(A18:A241="",, XLOOKUP(D18:D241, 'Recal IDs Log'!E17:E241, 'Recal IDs Log'!B17:B241, "", 0, -1))</f>
        <v>#REF!</v>
      </c>
      <c r="P18" s="22">
        <f t="shared" si="3"/>
        <v>36</v>
      </c>
      <c r="Q18" s="22" t="str">
        <f t="shared" si="1"/>
        <v>Poor</v>
      </c>
      <c r="R18" s="22" t="str">
        <f t="shared" si="2"/>
        <v>Breath Beginner</v>
      </c>
    </row>
    <row r="19" ht="22.5" customHeight="1">
      <c r="A19" s="18">
        <v>45929.6685515625</v>
      </c>
      <c r="B19" s="19" t="s">
        <v>564</v>
      </c>
      <c r="C19" s="19" t="s">
        <v>935</v>
      </c>
      <c r="D19" s="19" t="s">
        <v>569</v>
      </c>
      <c r="E19" s="19" t="s">
        <v>594</v>
      </c>
      <c r="F19" s="19">
        <v>17.0</v>
      </c>
      <c r="G19" s="19">
        <v>24.0</v>
      </c>
      <c r="H19" s="19">
        <v>55.0</v>
      </c>
      <c r="I19" s="19" t="s">
        <v>101</v>
      </c>
      <c r="J19" s="19">
        <v>58.0</v>
      </c>
      <c r="K19" s="32" t="s">
        <v>944</v>
      </c>
      <c r="L19" s="20"/>
      <c r="M19" s="20"/>
      <c r="N19" s="20"/>
      <c r="O19" s="22" t="str">
        <f t="array" ref="O19:O20">IF(A19:A241="",, XLOOKUP(D19:D241, 'Recal IDs Log'!E18:E241, 'Recal IDs Log'!B18:B241, "", 0, -1))</f>
        <v>#REF!</v>
      </c>
      <c r="P19" s="22">
        <f t="shared" si="3"/>
        <v>38</v>
      </c>
      <c r="Q19" s="22" t="str">
        <f t="shared" si="1"/>
        <v>Poor</v>
      </c>
      <c r="R19" s="22" t="str">
        <f t="shared" si="2"/>
        <v>Breath Beginner</v>
      </c>
    </row>
    <row r="20" ht="22.5" customHeight="1">
      <c r="A20" s="18">
        <v>45932.89572137731</v>
      </c>
      <c r="B20" s="19" t="s">
        <v>945</v>
      </c>
      <c r="C20" s="19" t="s">
        <v>946</v>
      </c>
      <c r="D20" s="19" t="s">
        <v>947</v>
      </c>
      <c r="E20" s="19" t="s">
        <v>594</v>
      </c>
      <c r="F20" s="19">
        <v>12.0</v>
      </c>
      <c r="G20" s="19">
        <v>30.0</v>
      </c>
      <c r="H20" s="19">
        <v>22.0</v>
      </c>
      <c r="I20" s="19" t="s">
        <v>101</v>
      </c>
      <c r="J20" s="19">
        <v>69.2</v>
      </c>
      <c r="K20" s="32" t="s">
        <v>948</v>
      </c>
      <c r="L20" s="20"/>
      <c r="M20" s="20"/>
      <c r="N20" s="20"/>
      <c r="O20" s="22" t="str">
        <f t="array" ref="O20:O21">IF(A20:A241="",, XLOOKUP(D20:D241, 'Recal IDs Log'!E19:E241, 'Recal IDs Log'!B19:B241, "", 0, -1))</f>
        <v>#REF!</v>
      </c>
      <c r="P20" s="22">
        <f t="shared" si="3"/>
        <v>24</v>
      </c>
      <c r="Q20" s="22" t="str">
        <f t="shared" si="1"/>
        <v>Very Poor</v>
      </c>
      <c r="R20" s="22" t="str">
        <f t="shared" si="2"/>
        <v>Breath-Aware</v>
      </c>
    </row>
    <row r="21" ht="22.5" customHeight="1">
      <c r="A21" s="18">
        <v>45938.08244190972</v>
      </c>
      <c r="B21" s="19" t="s">
        <v>949</v>
      </c>
      <c r="C21" s="19" t="s">
        <v>950</v>
      </c>
      <c r="D21" s="19" t="s">
        <v>951</v>
      </c>
      <c r="E21" s="19" t="s">
        <v>163</v>
      </c>
      <c r="F21" s="19">
        <v>25.0</v>
      </c>
      <c r="G21" s="19">
        <v>73.0</v>
      </c>
      <c r="H21" s="19">
        <v>70.0</v>
      </c>
      <c r="I21" s="19" t="s">
        <v>160</v>
      </c>
      <c r="J21" s="19">
        <v>103.0</v>
      </c>
      <c r="K21" s="32" t="s">
        <v>952</v>
      </c>
      <c r="L21" s="20"/>
      <c r="M21" s="20"/>
      <c r="N21" s="20"/>
      <c r="O21" s="22" t="str">
        <f t="array" ref="O21:O22">IF(A21:A241="",, XLOOKUP(D21:D241, 'Recal IDs Log'!E20:E241, 'Recal IDs Log'!B20:B241, "", 0, -1))</f>
        <v>#REF!</v>
      </c>
      <c r="P21" s="22">
        <f t="shared" si="3"/>
        <v>64</v>
      </c>
      <c r="Q21" s="22" t="str">
        <f t="shared" si="1"/>
        <v>Fair</v>
      </c>
      <c r="R21" s="22" t="str">
        <f t="shared" si="2"/>
        <v>Breather-in-Training</v>
      </c>
    </row>
    <row r="22" ht="22.5" customHeight="1">
      <c r="A22" s="18">
        <v>45938.806610625004</v>
      </c>
      <c r="B22" s="19" t="s">
        <v>670</v>
      </c>
      <c r="C22" s="19" t="s">
        <v>957</v>
      </c>
      <c r="D22" s="19" t="s">
        <v>958</v>
      </c>
      <c r="E22" s="19" t="s">
        <v>163</v>
      </c>
      <c r="F22" s="19">
        <v>32.0</v>
      </c>
      <c r="G22" s="19">
        <v>88.0</v>
      </c>
      <c r="H22" s="19">
        <v>75.0</v>
      </c>
      <c r="I22" s="19" t="s">
        <v>438</v>
      </c>
      <c r="J22" s="19">
        <v>96.77</v>
      </c>
      <c r="K22" s="32" t="s">
        <v>965</v>
      </c>
      <c r="L22" s="20"/>
      <c r="M22" s="20"/>
      <c r="N22" s="20"/>
      <c r="O22" s="22" t="str">
        <f t="array" ref="O22:O23">IF(A22:A241="",, XLOOKUP(D22:D241, 'Recal IDs Log'!E21:E241, 'Recal IDs Log'!B21:B241, "", 0, -1))</f>
        <v>#REF!</v>
      </c>
      <c r="P22" s="22">
        <f t="shared" si="3"/>
        <v>82</v>
      </c>
      <c r="Q22" s="22" t="str">
        <f t="shared" si="1"/>
        <v>Great</v>
      </c>
      <c r="R22" s="22" t="str">
        <f t="shared" si="2"/>
        <v>Breathwork-Trained</v>
      </c>
    </row>
    <row r="23" ht="22.5" customHeight="1">
      <c r="A23" s="18">
        <v>45939.34373079861</v>
      </c>
      <c r="B23" s="19" t="s">
        <v>975</v>
      </c>
      <c r="C23" s="19" t="s">
        <v>976</v>
      </c>
      <c r="D23" s="19" t="s">
        <v>977</v>
      </c>
      <c r="E23" s="19" t="s">
        <v>163</v>
      </c>
      <c r="F23" s="19">
        <v>30.0</v>
      </c>
      <c r="G23" s="19">
        <v>61.0</v>
      </c>
      <c r="H23" s="19">
        <v>32.0</v>
      </c>
      <c r="I23" s="19" t="s">
        <v>101</v>
      </c>
      <c r="J23" s="19">
        <v>146.6</v>
      </c>
      <c r="K23" s="32" t="s">
        <v>979</v>
      </c>
      <c r="L23" s="20"/>
      <c r="M23" s="20"/>
      <c r="N23" s="20"/>
      <c r="O23" s="22" t="str">
        <f t="array" ref="O23:O24">IF(A23:A241="",, XLOOKUP(D23:D241, 'Recal IDs Log'!E22:E241, 'Recal IDs Log'!B22:B241, "", 0, -1))</f>
        <v>#REF!</v>
      </c>
      <c r="P23" s="22">
        <f t="shared" si="3"/>
        <v>54</v>
      </c>
      <c r="Q23" s="22" t="str">
        <f t="shared" si="1"/>
        <v>Fair</v>
      </c>
      <c r="R23" s="22" t="str">
        <f t="shared" si="2"/>
        <v>Breather-in-Training</v>
      </c>
    </row>
    <row r="24" ht="22.5" customHeight="1">
      <c r="A24" s="18">
        <v>45939.792350081014</v>
      </c>
      <c r="B24" s="19" t="s">
        <v>603</v>
      </c>
      <c r="C24" s="19" t="s">
        <v>635</v>
      </c>
      <c r="D24" s="19" t="s">
        <v>605</v>
      </c>
      <c r="E24" s="19" t="s">
        <v>163</v>
      </c>
      <c r="F24" s="19">
        <v>15.0</v>
      </c>
      <c r="G24" s="19">
        <v>32.0</v>
      </c>
      <c r="H24" s="19">
        <v>23.0</v>
      </c>
      <c r="I24" s="19" t="s">
        <v>160</v>
      </c>
      <c r="J24" s="19">
        <v>80.0</v>
      </c>
      <c r="K24" s="32" t="s">
        <v>995</v>
      </c>
      <c r="L24" s="20"/>
      <c r="M24" s="20"/>
      <c r="N24" s="20"/>
      <c r="O24" s="22" t="str">
        <f t="array" ref="O24:O25">IF(A24:A241="",, XLOOKUP(D24:D241, 'Recal IDs Log'!E23:E241, 'Recal IDs Log'!B23:B241, "", 0, -1))</f>
        <v>#REF!</v>
      </c>
      <c r="P24" s="22">
        <f t="shared" si="3"/>
        <v>22</v>
      </c>
      <c r="Q24" s="22" t="str">
        <f t="shared" si="1"/>
        <v>Very Poor</v>
      </c>
      <c r="R24" s="22" t="str">
        <f t="shared" si="2"/>
        <v>Breath-Aware</v>
      </c>
    </row>
    <row r="25" ht="22.5" customHeight="1">
      <c r="A25" s="18">
        <v>45940.412997175925</v>
      </c>
      <c r="B25" s="19" t="s">
        <v>411</v>
      </c>
      <c r="C25" s="19" t="s">
        <v>412</v>
      </c>
      <c r="D25" s="19" t="s">
        <v>413</v>
      </c>
      <c r="E25" s="19" t="s">
        <v>163</v>
      </c>
      <c r="F25" s="19">
        <v>25.0</v>
      </c>
      <c r="G25" s="19">
        <v>68.0</v>
      </c>
      <c r="H25" s="19">
        <v>77.0</v>
      </c>
      <c r="I25" s="19" t="s">
        <v>160</v>
      </c>
      <c r="J25" s="19">
        <v>130.0</v>
      </c>
      <c r="K25" s="32" t="s">
        <v>1014</v>
      </c>
      <c r="L25" s="20"/>
      <c r="M25" s="20"/>
      <c r="N25" s="20"/>
      <c r="O25" s="22" t="str">
        <f t="array" ref="O25:O26">IF(A25:A241="",, XLOOKUP(D25:D241, 'Recal IDs Log'!E24:E241, 'Recal IDs Log'!B24:B241, "", 0, -1))</f>
        <v>#REF!</v>
      </c>
      <c r="P25" s="22">
        <f t="shared" si="3"/>
        <v>64</v>
      </c>
      <c r="Q25" s="22" t="str">
        <f t="shared" si="1"/>
        <v>Fair</v>
      </c>
      <c r="R25" s="22" t="str">
        <f t="shared" si="2"/>
        <v>Breather-in-Training</v>
      </c>
    </row>
    <row r="26" ht="22.5" customHeight="1">
      <c r="A26" s="18">
        <v>45940.95237196759</v>
      </c>
      <c r="B26" s="19" t="s">
        <v>416</v>
      </c>
      <c r="C26" s="19" t="s">
        <v>418</v>
      </c>
      <c r="D26" s="19" t="s">
        <v>419</v>
      </c>
      <c r="E26" s="19" t="s">
        <v>163</v>
      </c>
      <c r="F26" s="19">
        <v>20.0</v>
      </c>
      <c r="G26" s="19">
        <v>45.0</v>
      </c>
      <c r="H26" s="19">
        <v>25.0</v>
      </c>
      <c r="I26" s="19" t="s">
        <v>160</v>
      </c>
      <c r="J26" s="19">
        <v>46.0</v>
      </c>
      <c r="K26" s="32" t="s">
        <v>1021</v>
      </c>
      <c r="L26" s="20"/>
      <c r="M26" s="20"/>
      <c r="N26" s="20"/>
      <c r="O26" s="22" t="str">
        <f t="array" ref="O26:O27">IF(A26:A241="",, XLOOKUP(D26:D241, 'Recal IDs Log'!E25:E241, 'Recal IDs Log'!B25:B241, "", 0, -1))</f>
        <v>#REF!</v>
      </c>
      <c r="P26" s="22">
        <f t="shared" si="3"/>
        <v>30</v>
      </c>
      <c r="Q26" s="22" t="str">
        <f t="shared" si="1"/>
        <v>Very Poor</v>
      </c>
      <c r="R26" s="22" t="str">
        <f t="shared" si="2"/>
        <v>Breath-Aware</v>
      </c>
    </row>
    <row r="27" ht="22.5" customHeight="1">
      <c r="A27" s="18">
        <v>45943.64923761574</v>
      </c>
      <c r="B27" s="19" t="s">
        <v>424</v>
      </c>
      <c r="C27" s="19" t="s">
        <v>425</v>
      </c>
      <c r="D27" s="19" t="s">
        <v>427</v>
      </c>
      <c r="E27" s="19" t="s">
        <v>594</v>
      </c>
      <c r="F27" s="19">
        <v>30.0</v>
      </c>
      <c r="G27" s="19">
        <v>54.0</v>
      </c>
      <c r="H27" s="19">
        <v>58.0</v>
      </c>
      <c r="I27" s="19" t="s">
        <v>101</v>
      </c>
      <c r="J27" s="19">
        <v>83.0</v>
      </c>
      <c r="O27" s="22" t="str">
        <f t="array" ref="O27:O28">IF(A27:A241="",, XLOOKUP(D27:D241, 'Recal IDs Log'!E26:E241, 'Recal IDs Log'!B26:B241, "", 0, -1))</f>
        <v>#REF!</v>
      </c>
      <c r="P27" s="22">
        <f t="shared" si="3"/>
        <v>56</v>
      </c>
      <c r="Q27" s="22" t="str">
        <f t="shared" si="1"/>
        <v>Fair</v>
      </c>
      <c r="R27" s="22" t="str">
        <f t="shared" si="2"/>
        <v>Breather-in-Training</v>
      </c>
    </row>
    <row r="28" ht="22.5" customHeight="1">
      <c r="A28" s="18">
        <v>45944.148151319445</v>
      </c>
      <c r="B28" s="19" t="s">
        <v>437</v>
      </c>
      <c r="C28" s="19" t="s">
        <v>439</v>
      </c>
      <c r="D28" s="19" t="s">
        <v>307</v>
      </c>
      <c r="E28" s="19" t="s">
        <v>163</v>
      </c>
      <c r="F28" s="19">
        <v>21.0</v>
      </c>
      <c r="G28" s="19">
        <v>44.0</v>
      </c>
      <c r="H28" s="19">
        <v>45.0</v>
      </c>
      <c r="I28" s="19" t="s">
        <v>101</v>
      </c>
      <c r="J28" s="19">
        <v>101.4</v>
      </c>
      <c r="K28" s="19" t="s">
        <v>1028</v>
      </c>
      <c r="L28" s="35"/>
      <c r="M28" s="35"/>
      <c r="N28" s="35"/>
      <c r="O28" s="22" t="str">
        <f t="array" ref="O28:O29">IF(A28:A241="",, XLOOKUP(D28:D241, 'Recal IDs Log'!E26:E241, 'Recal IDs Log'!B26:B241, "", 0, -1))</f>
        <v>#REF!</v>
      </c>
      <c r="P28" s="22">
        <f t="shared" si="3"/>
        <v>48</v>
      </c>
      <c r="Q28" s="22" t="str">
        <f t="shared" si="1"/>
        <v>Poor</v>
      </c>
      <c r="R28" s="22" t="str">
        <f t="shared" si="2"/>
        <v>Breath Beginner</v>
      </c>
    </row>
    <row r="29" ht="22.5" customHeight="1">
      <c r="A29" s="18">
        <v>45945.52009106481</v>
      </c>
      <c r="B29" s="19" t="s">
        <v>441</v>
      </c>
      <c r="C29" s="19" t="s">
        <v>442</v>
      </c>
      <c r="D29" s="19" t="s">
        <v>443</v>
      </c>
      <c r="E29" s="19" t="s">
        <v>163</v>
      </c>
      <c r="F29" s="19">
        <v>22.0</v>
      </c>
      <c r="G29" s="19">
        <v>46.0</v>
      </c>
      <c r="H29" s="19">
        <v>64.0</v>
      </c>
      <c r="I29" s="19" t="s">
        <v>370</v>
      </c>
      <c r="J29" s="19">
        <v>88.0</v>
      </c>
      <c r="K29" s="19" t="s">
        <v>1035</v>
      </c>
      <c r="L29" s="35"/>
      <c r="M29" s="35"/>
      <c r="N29" s="35"/>
      <c r="O29" s="22" t="str">
        <f t="array" ref="O29:O30">IF(A29:A241="",, XLOOKUP(D29:D241, 'Recal IDs Log'!E26:E241, 'Recal IDs Log'!B26:B241, "", 0, -1))</f>
        <v>#REF!</v>
      </c>
      <c r="P29" s="22">
        <f t="shared" si="3"/>
        <v>64</v>
      </c>
      <c r="Q29" s="22" t="str">
        <f t="shared" si="1"/>
        <v>Fair</v>
      </c>
      <c r="R29" s="22" t="str">
        <f t="shared" si="2"/>
        <v>Breather-in-Training</v>
      </c>
    </row>
    <row r="30" ht="22.5" customHeight="1">
      <c r="A30" s="18">
        <v>45945.85136675926</v>
      </c>
      <c r="B30" s="19" t="s">
        <v>445</v>
      </c>
      <c r="C30" s="19" t="s">
        <v>447</v>
      </c>
      <c r="D30" s="19" t="s">
        <v>448</v>
      </c>
      <c r="E30" s="19" t="s">
        <v>163</v>
      </c>
      <c r="F30" s="19">
        <v>38.0</v>
      </c>
      <c r="G30" s="19">
        <v>77.0</v>
      </c>
      <c r="H30" s="19">
        <v>75.0</v>
      </c>
      <c r="I30" s="19" t="s">
        <v>101</v>
      </c>
      <c r="J30" s="19">
        <v>105.9</v>
      </c>
      <c r="K30" s="19" t="s">
        <v>1038</v>
      </c>
      <c r="L30" s="35"/>
      <c r="M30" s="35"/>
      <c r="N30" s="35"/>
      <c r="O30" s="22" t="str">
        <f t="array" ref="O30:O31">IF(A30:A241="",, XLOOKUP(D30:D241, 'Recal IDs Log'!E26:E241, 'Recal IDs Log'!B26:B241, "", 0, -1))</f>
        <v>#REF!</v>
      </c>
      <c r="P30" s="22">
        <f t="shared" si="3"/>
        <v>76</v>
      </c>
      <c r="Q30" s="22" t="str">
        <f t="shared" si="1"/>
        <v>Good</v>
      </c>
      <c r="R30" s="22" t="str">
        <f t="shared" si="2"/>
        <v>Functional Breather</v>
      </c>
    </row>
    <row r="31" ht="22.5" customHeight="1">
      <c r="A31" s="18">
        <v>45959.44275753472</v>
      </c>
      <c r="B31" s="19" t="s">
        <v>555</v>
      </c>
      <c r="C31" s="19" t="s">
        <v>556</v>
      </c>
      <c r="D31" s="19" t="s">
        <v>557</v>
      </c>
      <c r="E31" s="19" t="s">
        <v>163</v>
      </c>
      <c r="F31" s="19">
        <v>21.0</v>
      </c>
      <c r="G31" s="19">
        <v>36.0</v>
      </c>
      <c r="H31" s="19">
        <v>60.0</v>
      </c>
      <c r="I31" s="19" t="s">
        <v>438</v>
      </c>
      <c r="J31" s="19">
        <v>98.4</v>
      </c>
      <c r="K31" s="19" t="s">
        <v>1047</v>
      </c>
      <c r="L31" s="35"/>
      <c r="M31" s="35"/>
      <c r="N31" s="35"/>
      <c r="O31" s="22" t="str">
        <f t="array" ref="O31:O32">IF(A31:A241="",, XLOOKUP(D31:D241, 'Recal IDs Log'!E26:E241, 'Recal IDs Log'!B26:B241, "", 0, -1))</f>
        <v>#REF!</v>
      </c>
      <c r="P31" s="22">
        <f t="shared" si="3"/>
        <v>56</v>
      </c>
      <c r="Q31" s="22" t="str">
        <f t="shared" si="1"/>
        <v>Fair</v>
      </c>
      <c r="R31" s="22" t="str">
        <f t="shared" si="2"/>
        <v>Breather-in-Training</v>
      </c>
    </row>
    <row r="32" ht="22.5" customHeight="1">
      <c r="A32" s="18">
        <v>45960.83255868056</v>
      </c>
      <c r="B32" s="19" t="s">
        <v>77</v>
      </c>
      <c r="C32" s="19" t="s">
        <v>451</v>
      </c>
      <c r="D32" s="19" t="s">
        <v>452</v>
      </c>
      <c r="E32" s="19" t="s">
        <v>594</v>
      </c>
      <c r="F32" s="19">
        <v>30.0</v>
      </c>
      <c r="G32" s="19">
        <v>45.0</v>
      </c>
      <c r="H32" s="19">
        <v>60.0</v>
      </c>
      <c r="I32" s="19" t="s">
        <v>438</v>
      </c>
      <c r="J32" s="19">
        <v>95.2</v>
      </c>
      <c r="K32" s="19" t="s">
        <v>1065</v>
      </c>
      <c r="L32" s="35"/>
      <c r="M32" s="35"/>
      <c r="N32" s="35"/>
      <c r="O32" s="22" t="str">
        <f t="array" ref="O32:O33">IF(A32:A241="",, XLOOKUP(D32:D241, 'Recal IDs Log'!E26:E241, 'Recal IDs Log'!B26:B241, "", 0, -1))</f>
        <v>#REF!</v>
      </c>
      <c r="P32" s="22">
        <f t="shared" si="3"/>
        <v>64</v>
      </c>
      <c r="Q32" s="22" t="str">
        <f t="shared" si="1"/>
        <v>Fair</v>
      </c>
      <c r="R32" s="22" t="str">
        <f t="shared" si="2"/>
        <v>Breather-in-Training</v>
      </c>
    </row>
    <row r="33" ht="22.5" customHeight="1">
      <c r="A33" s="18">
        <v>45960.84533945602</v>
      </c>
      <c r="B33" s="19" t="s">
        <v>458</v>
      </c>
      <c r="C33" s="19" t="s">
        <v>459</v>
      </c>
      <c r="D33" s="19" t="s">
        <v>460</v>
      </c>
      <c r="E33" s="19" t="s">
        <v>163</v>
      </c>
      <c r="F33" s="19">
        <v>10.0</v>
      </c>
      <c r="G33" s="19">
        <v>44.0</v>
      </c>
      <c r="H33" s="19">
        <v>60.0</v>
      </c>
      <c r="I33" s="19" t="s">
        <v>101</v>
      </c>
      <c r="J33" s="19">
        <v>87.7</v>
      </c>
      <c r="K33" s="19" t="s">
        <v>1107</v>
      </c>
      <c r="L33" s="35"/>
      <c r="M33" s="35"/>
      <c r="N33" s="35"/>
      <c r="O33" s="22" t="str">
        <f t="array" ref="O33:O34">IF(A33:A241="",, XLOOKUP(D33:D241, 'Recal IDs Log'!E26:E241, 'Recal IDs Log'!B26:B241, "", 0, -1))</f>
        <v>#REF!</v>
      </c>
      <c r="P33" s="22">
        <f t="shared" si="3"/>
        <v>48</v>
      </c>
      <c r="Q33" s="22" t="str">
        <f t="shared" si="1"/>
        <v>Poor</v>
      </c>
      <c r="R33" s="22" t="str">
        <f t="shared" si="2"/>
        <v>Breath Beginner</v>
      </c>
    </row>
    <row r="34" ht="22.5" customHeight="1">
      <c r="A34" s="18">
        <v>45967.93789302083</v>
      </c>
      <c r="B34" s="19" t="s">
        <v>482</v>
      </c>
      <c r="C34" s="19" t="s">
        <v>483</v>
      </c>
      <c r="D34" s="19" t="s">
        <v>485</v>
      </c>
      <c r="E34" s="19" t="s">
        <v>163</v>
      </c>
      <c r="F34" s="19">
        <v>21.0</v>
      </c>
      <c r="G34" s="19">
        <v>24.0</v>
      </c>
      <c r="H34" s="19">
        <v>50.0</v>
      </c>
      <c r="I34" s="19" t="s">
        <v>101</v>
      </c>
      <c r="J34" s="19">
        <v>70.17</v>
      </c>
      <c r="K34" s="19" t="s">
        <v>1109</v>
      </c>
      <c r="L34" s="35"/>
      <c r="M34" s="35"/>
      <c r="N34" s="35"/>
      <c r="O34" s="22" t="str">
        <f t="array" ref="O34:O35">IF(A34:A241="",, XLOOKUP(D34:D241, 'Recal IDs Log'!E26:E241, 'Recal IDs Log'!B26:B241, "", 0, -1))</f>
        <v>#REF!</v>
      </c>
      <c r="P34" s="22">
        <f t="shared" si="3"/>
        <v>36</v>
      </c>
      <c r="Q34" s="22" t="str">
        <f t="shared" si="1"/>
        <v>Poor</v>
      </c>
      <c r="R34" s="22" t="str">
        <f t="shared" si="2"/>
        <v>Breath Beginner</v>
      </c>
    </row>
    <row r="35" ht="22.5" customHeight="1">
      <c r="A35" s="18">
        <v>45969.95418835648</v>
      </c>
      <c r="B35" s="19" t="s">
        <v>470</v>
      </c>
      <c r="C35" s="19" t="s">
        <v>471</v>
      </c>
      <c r="D35" s="19" t="s">
        <v>472</v>
      </c>
      <c r="E35" s="19" t="s">
        <v>163</v>
      </c>
      <c r="F35" s="19">
        <v>13.0</v>
      </c>
      <c r="G35" s="19">
        <v>14.0</v>
      </c>
      <c r="H35" s="19">
        <v>25.0</v>
      </c>
      <c r="I35" s="19" t="s">
        <v>385</v>
      </c>
      <c r="J35" s="19">
        <v>45.0</v>
      </c>
      <c r="K35" s="19" t="s">
        <v>1113</v>
      </c>
      <c r="L35" s="35"/>
      <c r="M35" s="35"/>
      <c r="N35" s="35"/>
      <c r="O35" s="22" t="str">
        <f t="array" ref="O35:O36">IF(A35:A241="",, XLOOKUP(D35:D241, 'Recal IDs Log'!E26:E241, 'Recal IDs Log'!B26:B241, "", 0, -1))</f>
        <v>#REF!</v>
      </c>
      <c r="P35" s="22">
        <f t="shared" si="3"/>
        <v>6</v>
      </c>
      <c r="Q35" s="22" t="str">
        <f t="shared" si="1"/>
        <v>Very Poor</v>
      </c>
      <c r="R35" s="22" t="str">
        <f t="shared" si="2"/>
        <v>Breath-Aware</v>
      </c>
    </row>
    <row r="36" ht="22.5" customHeight="1">
      <c r="A36" s="18">
        <v>45971.5829615625</v>
      </c>
      <c r="B36" s="19" t="s">
        <v>564</v>
      </c>
      <c r="C36" s="19" t="s">
        <v>935</v>
      </c>
      <c r="D36" s="19" t="s">
        <v>569</v>
      </c>
      <c r="E36" s="19" t="s">
        <v>594</v>
      </c>
      <c r="F36" s="19">
        <v>17.0</v>
      </c>
      <c r="G36" s="19">
        <v>37.0</v>
      </c>
      <c r="H36" s="19">
        <v>57.0</v>
      </c>
      <c r="I36" s="19" t="s">
        <v>370</v>
      </c>
      <c r="J36" s="19">
        <v>43.5</v>
      </c>
      <c r="O36" s="22" t="str">
        <f t="array" ref="O36:O37">IF(A36:A241="",, XLOOKUP(D36:D241, 'Recal IDs Log'!E26:E241, 'Recal IDs Log'!B26:B241, "", 0, -1))</f>
        <v>#REF!</v>
      </c>
      <c r="P36" s="22">
        <f t="shared" si="3"/>
        <v>54</v>
      </c>
      <c r="Q36" s="22" t="str">
        <f t="shared" si="1"/>
        <v>Fair</v>
      </c>
      <c r="R36" s="22" t="str">
        <f t="shared" si="2"/>
        <v>Breather-in-Training</v>
      </c>
    </row>
    <row r="37" ht="22.5" customHeight="1">
      <c r="A37" s="18">
        <v>45974.69605238426</v>
      </c>
      <c r="B37" s="19" t="s">
        <v>487</v>
      </c>
      <c r="C37" s="19" t="s">
        <v>488</v>
      </c>
      <c r="D37" s="19" t="s">
        <v>489</v>
      </c>
      <c r="E37" s="19" t="s">
        <v>163</v>
      </c>
      <c r="F37" s="19">
        <v>10.0</v>
      </c>
      <c r="G37" s="19">
        <v>21.0</v>
      </c>
      <c r="H37" s="19">
        <v>14.0</v>
      </c>
      <c r="I37" s="19" t="s">
        <v>438</v>
      </c>
      <c r="J37" s="19">
        <v>78.5</v>
      </c>
      <c r="K37" s="19" t="s">
        <v>1116</v>
      </c>
      <c r="L37" s="35"/>
      <c r="M37" s="35"/>
      <c r="N37" s="35"/>
      <c r="O37" s="22" t="str">
        <f t="array" ref="O37:O38">IF(A37:A241="",, XLOOKUP(D37:D241, 'Recal IDs Log'!E26:E241, 'Recal IDs Log'!B26:B241, "", 0, -1))</f>
        <v>#REF!</v>
      </c>
      <c r="P37" s="22">
        <f t="shared" si="3"/>
        <v>28</v>
      </c>
      <c r="Q37" s="22" t="str">
        <f t="shared" si="1"/>
        <v>Very Poor</v>
      </c>
      <c r="R37" s="22" t="str">
        <f t="shared" si="2"/>
        <v>Breath-Aware</v>
      </c>
    </row>
    <row r="38" ht="22.5" customHeight="1">
      <c r="A38" s="18">
        <v>45974.70071371528</v>
      </c>
      <c r="B38" s="19" t="s">
        <v>1120</v>
      </c>
      <c r="C38" s="19" t="s">
        <v>1122</v>
      </c>
      <c r="D38" s="19" t="s">
        <v>1124</v>
      </c>
      <c r="E38" s="19" t="s">
        <v>163</v>
      </c>
      <c r="F38" s="19">
        <v>16.0</v>
      </c>
      <c r="G38" s="19">
        <v>1.0</v>
      </c>
      <c r="H38" s="19">
        <v>31.0</v>
      </c>
      <c r="I38" s="19" t="s">
        <v>101</v>
      </c>
      <c r="J38" s="19">
        <v>89.74</v>
      </c>
      <c r="K38" s="19" t="s">
        <v>1126</v>
      </c>
      <c r="L38" s="35"/>
      <c r="M38" s="35"/>
      <c r="N38" s="35"/>
      <c r="O38" s="22" t="str">
        <f t="array" ref="O38:O39">IF(A38:A241="",, XLOOKUP(D38:D241, 'Recal IDs Log'!E26:E241, 'Recal IDs Log'!B26:B241, "", 0, -1))</f>
        <v>#REF!</v>
      </c>
      <c r="P38" s="22">
        <f t="shared" si="3"/>
        <v>32</v>
      </c>
      <c r="Q38" s="22" t="str">
        <f t="shared" si="1"/>
        <v>Poor</v>
      </c>
      <c r="R38" s="22" t="str">
        <f t="shared" si="2"/>
        <v>Breath Beginner</v>
      </c>
    </row>
    <row r="39" ht="22.5" customHeight="1">
      <c r="A39" s="18">
        <v>45974.971311574074</v>
      </c>
      <c r="B39" s="19" t="s">
        <v>491</v>
      </c>
      <c r="C39" s="19" t="s">
        <v>492</v>
      </c>
      <c r="D39" s="19" t="s">
        <v>493</v>
      </c>
      <c r="E39" s="19" t="s">
        <v>594</v>
      </c>
      <c r="F39" s="19">
        <v>30.0</v>
      </c>
      <c r="G39" s="19">
        <v>75.0</v>
      </c>
      <c r="H39" s="19">
        <v>60.0</v>
      </c>
      <c r="I39" s="19" t="s">
        <v>370</v>
      </c>
      <c r="J39" s="19">
        <v>176.0</v>
      </c>
      <c r="K39" s="19" t="s">
        <v>1133</v>
      </c>
      <c r="L39" s="35"/>
      <c r="M39" s="35"/>
      <c r="N39" s="35"/>
      <c r="O39" s="22" t="str">
        <f t="array" ref="O39:O40">IF(A39:A241="",, XLOOKUP(D39:D241, 'Recal IDs Log'!E26:E241, 'Recal IDs Log'!B26:B241, "", 0, -1))</f>
        <v>#REF!</v>
      </c>
      <c r="P39" s="22">
        <f t="shared" si="3"/>
        <v>82</v>
      </c>
      <c r="Q39" s="22" t="str">
        <f t="shared" si="1"/>
        <v>Great</v>
      </c>
      <c r="R39" s="22" t="str">
        <f t="shared" si="2"/>
        <v>Breathwork-Trained</v>
      </c>
    </row>
    <row r="40" ht="22.5" customHeight="1">
      <c r="A40" s="18">
        <v>45975.50046221065</v>
      </c>
      <c r="B40" s="19" t="s">
        <v>506</v>
      </c>
      <c r="C40" s="19" t="s">
        <v>507</v>
      </c>
      <c r="D40" s="19" t="s">
        <v>508</v>
      </c>
      <c r="E40" s="19" t="s">
        <v>1137</v>
      </c>
      <c r="F40" s="19">
        <v>16.0</v>
      </c>
      <c r="G40" s="19">
        <v>32.0</v>
      </c>
      <c r="H40" s="19">
        <v>24.0</v>
      </c>
      <c r="I40" s="19" t="s">
        <v>101</v>
      </c>
      <c r="J40" s="19">
        <v>88.0</v>
      </c>
      <c r="K40" s="19" t="s">
        <v>1138</v>
      </c>
      <c r="L40" s="35"/>
      <c r="M40" s="35"/>
      <c r="N40" s="35"/>
      <c r="O40" s="22" t="str">
        <f t="array" ref="O40:O41">IF(A40:A241="",, XLOOKUP(D40:D241, 'Recal IDs Log'!E26:E241, 'Recal IDs Log'!B26:B241, "", 0, -1))</f>
        <v>#REF!</v>
      </c>
      <c r="P40" s="22">
        <f t="shared" si="3"/>
        <v>28</v>
      </c>
      <c r="Q40" s="22" t="str">
        <f t="shared" si="1"/>
        <v>Very Poor</v>
      </c>
      <c r="R40" s="22" t="str">
        <f t="shared" si="2"/>
        <v>Breath-Aware</v>
      </c>
    </row>
    <row r="41" ht="22.5" customHeight="1">
      <c r="A41" s="18">
        <v>45983.17988202546</v>
      </c>
      <c r="B41" s="19" t="s">
        <v>526</v>
      </c>
      <c r="C41" s="19" t="s">
        <v>527</v>
      </c>
      <c r="D41" s="19" t="s">
        <v>528</v>
      </c>
      <c r="E41" s="19" t="s">
        <v>163</v>
      </c>
      <c r="F41" s="19">
        <v>46.0</v>
      </c>
      <c r="G41" s="19">
        <v>53.0</v>
      </c>
      <c r="H41" s="19">
        <v>55.0</v>
      </c>
      <c r="I41" s="19" t="s">
        <v>101</v>
      </c>
      <c r="J41" s="19">
        <v>90.395</v>
      </c>
      <c r="O41" s="22" t="str">
        <f t="array" ref="O41:O42">IF(A41:A241="",, XLOOKUP(D41:D241, 'Recal IDs Log'!E26:E241, 'Recal IDs Log'!B26:B241, "", 0, -1))</f>
        <v>#REF!</v>
      </c>
      <c r="P41" s="22">
        <f t="shared" si="3"/>
        <v>60</v>
      </c>
      <c r="Q41" s="22" t="str">
        <f t="shared" si="1"/>
        <v>Fair</v>
      </c>
      <c r="R41" s="22" t="str">
        <f t="shared" si="2"/>
        <v>Breather-in-Training</v>
      </c>
    </row>
    <row r="42" ht="22.5" customHeight="1">
      <c r="A42" s="18">
        <v>45984.01829446759</v>
      </c>
      <c r="B42" s="19" t="s">
        <v>534</v>
      </c>
      <c r="C42" s="19" t="s">
        <v>535</v>
      </c>
      <c r="D42" s="19" t="s">
        <v>536</v>
      </c>
      <c r="E42" s="19" t="s">
        <v>163</v>
      </c>
      <c r="F42" s="19">
        <v>30.0</v>
      </c>
      <c r="G42" s="19">
        <v>70.0</v>
      </c>
      <c r="H42" s="19">
        <v>36.0</v>
      </c>
      <c r="I42" s="19" t="s">
        <v>101</v>
      </c>
      <c r="J42" s="19">
        <v>37.5</v>
      </c>
      <c r="K42" s="19" t="s">
        <v>1147</v>
      </c>
      <c r="L42" s="35"/>
      <c r="M42" s="35"/>
      <c r="N42" s="35"/>
      <c r="O42" s="22" t="str">
        <f t="array" ref="O42:O43">IF(A42:A241="",, XLOOKUP(D42:D241, 'Recal IDs Log'!E26:E241, 'Recal IDs Log'!B26:B241, "", 0, -1))</f>
        <v>#REF!</v>
      </c>
      <c r="P42" s="22">
        <f t="shared" si="3"/>
        <v>48</v>
      </c>
      <c r="Q42" s="22" t="str">
        <f t="shared" si="1"/>
        <v>Poor</v>
      </c>
      <c r="R42" s="22" t="str">
        <f t="shared" si="2"/>
        <v>Breath Beginner</v>
      </c>
    </row>
    <row r="43" ht="22.5" customHeight="1">
      <c r="A43" s="18">
        <v>45985.25229862268</v>
      </c>
      <c r="B43" s="19" t="s">
        <v>530</v>
      </c>
      <c r="C43" s="19" t="s">
        <v>531</v>
      </c>
      <c r="D43" s="19" t="s">
        <v>532</v>
      </c>
      <c r="E43" s="19" t="s">
        <v>163</v>
      </c>
      <c r="F43" s="19">
        <v>27.0</v>
      </c>
      <c r="G43" s="19">
        <v>59.0</v>
      </c>
      <c r="H43" s="19">
        <v>52.0</v>
      </c>
      <c r="I43" s="19" t="s">
        <v>160</v>
      </c>
      <c r="J43" s="19">
        <v>126.0</v>
      </c>
      <c r="K43" s="19" t="s">
        <v>1150</v>
      </c>
      <c r="L43" s="35"/>
      <c r="M43" s="35"/>
      <c r="N43" s="35"/>
      <c r="O43" s="22" t="str">
        <f t="array" ref="O43:O44">IF(A43:A241="",, XLOOKUP(D43:D241, 'Recal IDs Log'!E27:E241, 'Recal IDs Log'!B27:B241, "", 0, -1))</f>
        <v>#REF!</v>
      </c>
      <c r="P43" s="22">
        <f t="shared" si="3"/>
        <v>52</v>
      </c>
      <c r="Q43" s="22" t="str">
        <f t="shared" si="1"/>
        <v>Fair</v>
      </c>
      <c r="R43" s="22" t="str">
        <f t="shared" si="2"/>
        <v>Breather-in-Training</v>
      </c>
    </row>
    <row r="44" ht="22.5" customHeight="1">
      <c r="A44" s="18">
        <v>45985.695404791666</v>
      </c>
      <c r="B44" s="19" t="s">
        <v>543</v>
      </c>
      <c r="C44" s="19" t="s">
        <v>544</v>
      </c>
      <c r="D44" s="19" t="s">
        <v>545</v>
      </c>
      <c r="E44" s="19" t="s">
        <v>594</v>
      </c>
      <c r="F44" s="19">
        <v>16.0</v>
      </c>
      <c r="G44" s="19">
        <v>29.0</v>
      </c>
      <c r="H44" s="19">
        <v>40.0</v>
      </c>
      <c r="I44" s="19" t="s">
        <v>101</v>
      </c>
      <c r="J44" s="19">
        <v>69.8</v>
      </c>
      <c r="K44" s="19" t="s">
        <v>1155</v>
      </c>
      <c r="L44" s="35"/>
      <c r="M44" s="35"/>
      <c r="N44" s="35"/>
      <c r="O44" s="22" t="str">
        <f t="array" ref="O44:O45">IF(A44:A241="",, XLOOKUP(D44:D241, 'Recal IDs Log'!E28:E241, 'Recal IDs Log'!B28:B241, "", 0, -1))</f>
        <v>#REF!</v>
      </c>
      <c r="P44" s="22">
        <f t="shared" si="3"/>
        <v>38</v>
      </c>
      <c r="Q44" s="22" t="str">
        <f t="shared" si="1"/>
        <v>Poor</v>
      </c>
      <c r="R44" s="22" t="str">
        <f t="shared" si="2"/>
        <v>Breath Beginner</v>
      </c>
    </row>
    <row r="45" ht="22.5" customHeight="1">
      <c r="A45" s="18">
        <v>45989.96112584491</v>
      </c>
      <c r="B45" s="19" t="s">
        <v>551</v>
      </c>
      <c r="C45" s="19" t="s">
        <v>552</v>
      </c>
      <c r="D45" s="19" t="s">
        <v>553</v>
      </c>
      <c r="E45" s="19" t="s">
        <v>594</v>
      </c>
      <c r="F45" s="19">
        <v>18.0</v>
      </c>
      <c r="G45" s="19">
        <v>30.0</v>
      </c>
      <c r="H45" s="19">
        <v>32.0</v>
      </c>
      <c r="I45" s="19" t="s">
        <v>370</v>
      </c>
      <c r="J45" s="19">
        <v>55.6</v>
      </c>
      <c r="K45" s="19" t="s">
        <v>1156</v>
      </c>
      <c r="L45" s="35"/>
      <c r="M45" s="35"/>
      <c r="N45" s="35"/>
      <c r="O45" s="22" t="str">
        <f t="array" ref="O45:O46">IF(A45:A241="",, XLOOKUP(D45:D241, 'Recal IDs Log'!E29:E241, 'Recal IDs Log'!B29:B241, "", 0, -1))</f>
        <v>#REF!</v>
      </c>
      <c r="P45" s="22">
        <f t="shared" si="3"/>
        <v>42</v>
      </c>
      <c r="Q45" s="22" t="str">
        <f t="shared" si="1"/>
        <v>Poor</v>
      </c>
      <c r="R45" s="22" t="str">
        <f t="shared" si="2"/>
        <v>Breath Beginner</v>
      </c>
    </row>
    <row r="46" ht="22.5" customHeight="1">
      <c r="A46" s="18">
        <v>45992.52061872685</v>
      </c>
      <c r="B46" s="19" t="s">
        <v>555</v>
      </c>
      <c r="C46" s="19" t="s">
        <v>556</v>
      </c>
      <c r="D46" s="19" t="s">
        <v>557</v>
      </c>
      <c r="E46" s="19" t="s">
        <v>163</v>
      </c>
      <c r="F46" s="19">
        <v>24.0</v>
      </c>
      <c r="G46" s="19">
        <v>37.0</v>
      </c>
      <c r="H46" s="19">
        <v>70.0</v>
      </c>
      <c r="I46" s="19" t="s">
        <v>353</v>
      </c>
      <c r="J46" s="19">
        <v>117.6</v>
      </c>
      <c r="O46" s="22" t="str">
        <f t="array" ref="O46:O47">IF(A46:A241="",, XLOOKUP(D46:D241, 'Recal IDs Log'!E30:E241, 'Recal IDs Log'!B30:B241, "", 0, -1))</f>
        <v>#REF!</v>
      </c>
      <c r="P46" s="22">
        <f t="shared" si="3"/>
        <v>64</v>
      </c>
      <c r="Q46" s="22" t="str">
        <f t="shared" si="1"/>
        <v>Fair</v>
      </c>
      <c r="R46" s="22" t="str">
        <f t="shared" si="2"/>
        <v>Breather-in-Training</v>
      </c>
    </row>
    <row r="47" ht="22.5" customHeight="1">
      <c r="A47" s="18">
        <v>45992.94085157407</v>
      </c>
      <c r="B47" s="19" t="s">
        <v>566</v>
      </c>
      <c r="C47" s="19" t="s">
        <v>568</v>
      </c>
      <c r="D47" s="19" t="s">
        <v>571</v>
      </c>
      <c r="E47" s="19" t="s">
        <v>163</v>
      </c>
      <c r="F47" s="19">
        <v>9.0</v>
      </c>
      <c r="G47" s="19">
        <v>21.0</v>
      </c>
      <c r="H47" s="19">
        <v>35.0</v>
      </c>
      <c r="I47" s="19" t="s">
        <v>160</v>
      </c>
      <c r="J47" s="19">
        <v>29.4</v>
      </c>
      <c r="O47" s="22" t="str">
        <f t="array" ref="O47:O48">IF(A47:A241="",, XLOOKUP(D47:D241, 'Recal IDs Log'!E31:E241, 'Recal IDs Log'!B31:B241, "", 0, -1))</f>
        <v>#REF!</v>
      </c>
      <c r="P47" s="22">
        <f t="shared" si="3"/>
        <v>18</v>
      </c>
      <c r="Q47" s="22" t="str">
        <f t="shared" si="1"/>
        <v>Very Poor</v>
      </c>
      <c r="R47" s="22" t="str">
        <f t="shared" si="2"/>
        <v>Breath-Aware</v>
      </c>
    </row>
    <row r="48" ht="22.5" customHeight="1">
      <c r="A48" s="18">
        <v>45995.86914097222</v>
      </c>
      <c r="B48" s="19" t="s">
        <v>1157</v>
      </c>
      <c r="C48" s="19" t="s">
        <v>1158</v>
      </c>
      <c r="D48" s="19" t="s">
        <v>1159</v>
      </c>
      <c r="E48" s="19" t="s">
        <v>163</v>
      </c>
      <c r="F48" s="19">
        <v>25.0</v>
      </c>
      <c r="G48" s="19">
        <v>54.0</v>
      </c>
      <c r="H48" s="19">
        <v>52.0</v>
      </c>
      <c r="I48" s="19" t="s">
        <v>370</v>
      </c>
      <c r="J48" s="19">
        <v>46.875</v>
      </c>
      <c r="K48" s="19" t="s">
        <v>1160</v>
      </c>
      <c r="L48" s="35"/>
      <c r="M48" s="35"/>
      <c r="N48" s="35"/>
      <c r="O48" s="22" t="str">
        <f t="array" ref="O48:O49">IF(A48:A241="",, XLOOKUP(D48:D241, 'Recal IDs Log'!E32:E241, 'Recal IDs Log'!B32:B241, "", 0, -1))</f>
        <v>#REF!</v>
      </c>
      <c r="P48" s="22">
        <f t="shared" si="3"/>
        <v>56</v>
      </c>
      <c r="Q48" s="22" t="str">
        <f t="shared" si="1"/>
        <v>Fair</v>
      </c>
      <c r="R48" s="22" t="str">
        <f t="shared" si="2"/>
        <v>Breather-in-Training</v>
      </c>
    </row>
    <row r="49" ht="22.5" customHeight="1">
      <c r="A49" s="18">
        <v>45996.83769328704</v>
      </c>
      <c r="B49" s="19" t="s">
        <v>577</v>
      </c>
      <c r="C49" s="19" t="s">
        <v>578</v>
      </c>
      <c r="D49" s="19" t="s">
        <v>579</v>
      </c>
      <c r="E49" s="19" t="s">
        <v>163</v>
      </c>
      <c r="F49" s="19">
        <v>16.0</v>
      </c>
      <c r="G49" s="19">
        <v>41.0</v>
      </c>
      <c r="H49" s="19">
        <v>36.0</v>
      </c>
      <c r="I49" s="19" t="s">
        <v>184</v>
      </c>
      <c r="J49" s="19">
        <v>127.7</v>
      </c>
      <c r="K49" s="19" t="s">
        <v>1161</v>
      </c>
      <c r="L49" s="35"/>
      <c r="M49" s="35"/>
      <c r="N49" s="35"/>
      <c r="O49" s="22" t="str">
        <f t="array" ref="O49:O50">IF(A49:A241="",, XLOOKUP(D49:D241, 'Recal IDs Log'!E33:E241, 'Recal IDs Log'!B33:B241, "", 0, -1))</f>
        <v>#REF!</v>
      </c>
      <c r="P49" s="22">
        <f t="shared" si="3"/>
        <v>44</v>
      </c>
      <c r="Q49" s="22" t="str">
        <f t="shared" si="1"/>
        <v>Poor</v>
      </c>
      <c r="R49" s="22" t="str">
        <f t="shared" si="2"/>
        <v>Breath Beginner</v>
      </c>
    </row>
    <row r="50" ht="22.5" customHeight="1">
      <c r="A50" s="18">
        <v>45997.932293819445</v>
      </c>
      <c r="B50" s="19" t="s">
        <v>482</v>
      </c>
      <c r="C50" s="19" t="s">
        <v>483</v>
      </c>
      <c r="D50" s="19" t="s">
        <v>485</v>
      </c>
      <c r="E50" s="19" t="s">
        <v>163</v>
      </c>
      <c r="F50" s="19">
        <v>21.0</v>
      </c>
      <c r="G50" s="19">
        <v>33.0</v>
      </c>
      <c r="H50" s="19">
        <v>52.0</v>
      </c>
      <c r="I50" s="19" t="s">
        <v>385</v>
      </c>
      <c r="J50" s="19">
        <v>53.57</v>
      </c>
      <c r="K50" s="19" t="s">
        <v>1109</v>
      </c>
      <c r="L50" s="35"/>
      <c r="M50" s="35"/>
      <c r="N50" s="35"/>
      <c r="O50" s="22" t="str">
        <f t="array" ref="O50:O51">IF(A50:A241="",, XLOOKUP(D50:D241, 'Recal IDs Log'!E34:E241, 'Recal IDs Log'!B34:B241, "", 0, -1))</f>
        <v>#REF!</v>
      </c>
      <c r="P50" s="22">
        <f t="shared" si="3"/>
        <v>20</v>
      </c>
      <c r="Q50" s="22" t="str">
        <f t="shared" si="1"/>
        <v>Very Poor</v>
      </c>
      <c r="R50" s="22" t="str">
        <f t="shared" si="2"/>
        <v>Breath-Aware</v>
      </c>
    </row>
    <row r="51" ht="22.5" customHeight="1">
      <c r="A51" s="18">
        <v>46000.80867613426</v>
      </c>
      <c r="B51" s="19" t="s">
        <v>269</v>
      </c>
      <c r="C51" s="19" t="s">
        <v>581</v>
      </c>
      <c r="D51" s="19" t="s">
        <v>582</v>
      </c>
      <c r="E51" s="19" t="s">
        <v>163</v>
      </c>
      <c r="F51" s="19">
        <v>25.0</v>
      </c>
      <c r="G51" s="19">
        <v>52.0</v>
      </c>
      <c r="H51" s="19">
        <v>55.0</v>
      </c>
      <c r="I51" s="19" t="s">
        <v>353</v>
      </c>
      <c r="J51" s="19">
        <v>75.3</v>
      </c>
      <c r="K51" s="19" t="s">
        <v>1167</v>
      </c>
      <c r="L51" s="35"/>
      <c r="M51" s="35"/>
      <c r="N51" s="35"/>
      <c r="O51" s="22" t="str">
        <f t="array" ref="O51:O52">IF(A51:A241="",, XLOOKUP(D51:D241, 'Recal IDs Log'!E35:E241, 'Recal IDs Log'!B35:B241, "", 0, -1))</f>
        <v>#REF!</v>
      </c>
      <c r="P51" s="22">
        <f t="shared" si="3"/>
        <v>60</v>
      </c>
      <c r="Q51" s="22" t="str">
        <f t="shared" si="1"/>
        <v>Fair</v>
      </c>
      <c r="R51" s="22" t="str">
        <f t="shared" si="2"/>
        <v>Breather-in-Training</v>
      </c>
    </row>
    <row r="52" ht="22.5" customHeight="1">
      <c r="A52" s="18">
        <v>46001.05517340278</v>
      </c>
      <c r="B52" s="19" t="s">
        <v>584</v>
      </c>
      <c r="C52" s="19" t="s">
        <v>585</v>
      </c>
      <c r="D52" s="19" t="s">
        <v>586</v>
      </c>
      <c r="E52" s="19" t="s">
        <v>594</v>
      </c>
      <c r="F52" s="19">
        <v>16.0</v>
      </c>
      <c r="G52" s="19">
        <v>32.0</v>
      </c>
      <c r="H52" s="19">
        <v>51.0</v>
      </c>
      <c r="I52" s="19" t="s">
        <v>184</v>
      </c>
      <c r="K52" s="19" t="s">
        <v>303</v>
      </c>
      <c r="L52" s="35"/>
      <c r="M52" s="35"/>
      <c r="N52" s="35"/>
      <c r="O52" s="22" t="str">
        <f t="array" ref="O52:O53">IF(A52:A241="",, XLOOKUP(D52:D241, 'Recal IDs Log'!E36:E241, 'Recal IDs Log'!B36:B241, "", 0, -1))</f>
        <v>#REF!</v>
      </c>
      <c r="P52" s="22">
        <f t="shared" si="3"/>
        <v>36</v>
      </c>
      <c r="Q52" s="22" t="str">
        <f t="shared" si="1"/>
        <v>Poor</v>
      </c>
      <c r="R52" s="22" t="str">
        <f t="shared" si="2"/>
        <v>Breath Beginner</v>
      </c>
    </row>
    <row r="53" ht="22.5" customHeight="1">
      <c r="A53" s="18">
        <v>46001.086627233795</v>
      </c>
      <c r="B53" s="19" t="s">
        <v>588</v>
      </c>
      <c r="C53" s="19" t="s">
        <v>589</v>
      </c>
      <c r="D53" s="19" t="s">
        <v>590</v>
      </c>
      <c r="E53" s="19" t="s">
        <v>594</v>
      </c>
      <c r="F53" s="19">
        <v>32.0</v>
      </c>
      <c r="G53" s="19">
        <v>77.0</v>
      </c>
      <c r="H53" s="19">
        <v>53.0</v>
      </c>
      <c r="I53" s="19" t="s">
        <v>160</v>
      </c>
      <c r="J53" s="19">
        <v>103.4</v>
      </c>
      <c r="K53" s="19" t="s">
        <v>1176</v>
      </c>
      <c r="L53" s="35"/>
      <c r="M53" s="35"/>
      <c r="N53" s="35"/>
      <c r="O53" s="22" t="str">
        <f t="array" ref="O53:O54">IF(A53:A241="",, XLOOKUP(D53:D241, 'Recal IDs Log'!E37:E241, 'Recal IDs Log'!B37:B241, "", 0, -1))</f>
        <v>#REF!</v>
      </c>
      <c r="P53" s="22">
        <f t="shared" si="3"/>
        <v>54</v>
      </c>
      <c r="Q53" s="22" t="str">
        <f t="shared" si="1"/>
        <v>Fair</v>
      </c>
      <c r="R53" s="22" t="str">
        <f t="shared" si="2"/>
        <v>Breather-in-Training</v>
      </c>
    </row>
    <row r="54" ht="22.5" customHeight="1">
      <c r="A54" s="18">
        <v>46002.218533657404</v>
      </c>
      <c r="B54" s="19" t="s">
        <v>1177</v>
      </c>
      <c r="C54" s="19" t="s">
        <v>593</v>
      </c>
      <c r="D54" s="19" t="s">
        <v>595</v>
      </c>
      <c r="E54" s="19" t="s">
        <v>163</v>
      </c>
      <c r="F54" s="19">
        <v>30.0</v>
      </c>
      <c r="G54" s="19">
        <v>70.0</v>
      </c>
      <c r="H54" s="19">
        <v>65.0</v>
      </c>
      <c r="I54" s="19" t="s">
        <v>184</v>
      </c>
      <c r="J54" s="19">
        <v>93.8</v>
      </c>
      <c r="O54" s="22" t="str">
        <f t="array" ref="O54:O55">IF(A54:A241="",, XLOOKUP(D54:D241, 'Recal IDs Log'!E39:E241, 'Recal IDs Log'!B39:B241, "", 0, -1))</f>
        <v>#REF!</v>
      </c>
      <c r="P54" s="22">
        <f t="shared" si="3"/>
        <v>66</v>
      </c>
      <c r="Q54" s="22" t="str">
        <f t="shared" si="1"/>
        <v>Good</v>
      </c>
      <c r="R54" s="22" t="str">
        <f t="shared" si="2"/>
        <v>Functional Breather</v>
      </c>
    </row>
    <row r="55" ht="22.5" hidden="1" customHeight="1">
      <c r="A55" s="18">
        <v>46001.68747048611</v>
      </c>
      <c r="B55" s="19" t="s">
        <v>564</v>
      </c>
      <c r="C55" s="19" t="s">
        <v>935</v>
      </c>
      <c r="D55" s="19" t="s">
        <v>569</v>
      </c>
      <c r="E55" s="19" t="s">
        <v>594</v>
      </c>
      <c r="F55" s="19">
        <v>19.0</v>
      </c>
      <c r="G55" s="19">
        <v>28.0</v>
      </c>
      <c r="H55" s="19">
        <v>50.0</v>
      </c>
      <c r="I55" s="19" t="s">
        <v>370</v>
      </c>
      <c r="J55" s="19">
        <v>45.0</v>
      </c>
      <c r="K55" s="19" t="s">
        <v>1181</v>
      </c>
      <c r="L55" s="35"/>
      <c r="M55" s="35"/>
      <c r="N55" s="35"/>
      <c r="O55" s="22" t="str">
        <f t="array" ref="O55:O56">IF(A55:A241="",, XLOOKUP(D55:D241, 'Recal IDs Log'!E38:E241, 'Recal IDs Log'!B38:B241, "", 0, -1))</f>
        <v>#REF!</v>
      </c>
      <c r="P55" s="22">
        <f t="shared" si="3"/>
        <v>48</v>
      </c>
      <c r="Q55" s="22" t="str">
        <f t="shared" si="1"/>
        <v>Poor</v>
      </c>
      <c r="R55" s="22" t="str">
        <f t="shared" si="2"/>
        <v>Breath Beginner</v>
      </c>
    </row>
    <row r="56" ht="22.5" customHeight="1">
      <c r="A56" s="18">
        <v>46002.393506064815</v>
      </c>
      <c r="B56" s="19" t="s">
        <v>597</v>
      </c>
      <c r="C56" s="19" t="s">
        <v>1193</v>
      </c>
      <c r="D56" s="19" t="s">
        <v>600</v>
      </c>
      <c r="E56" s="19" t="s">
        <v>1137</v>
      </c>
      <c r="F56" s="19">
        <v>29.0</v>
      </c>
      <c r="G56" s="19">
        <v>50.0</v>
      </c>
      <c r="H56" s="19">
        <v>30.0</v>
      </c>
      <c r="I56" s="19" t="s">
        <v>263</v>
      </c>
      <c r="J56" s="19">
        <v>142.9</v>
      </c>
      <c r="K56" s="19" t="s">
        <v>1194</v>
      </c>
      <c r="L56" s="35"/>
      <c r="M56" s="35"/>
      <c r="N56" s="35"/>
      <c r="O56" s="22" t="str">
        <f t="array" ref="O56:O57">IF(A56:A241="",, XLOOKUP(D56:D241, 'Recal IDs Log'!E40:E241, 'Recal IDs Log'!B40:B241, "", 0, -1))</f>
        <v>#REF!</v>
      </c>
      <c r="P56" s="22">
        <f t="shared" si="3"/>
        <v>36</v>
      </c>
      <c r="Q56" s="22" t="str">
        <f t="shared" si="1"/>
        <v>Poor</v>
      </c>
      <c r="R56" s="22" t="str">
        <f t="shared" si="2"/>
        <v>Breath Beginner</v>
      </c>
    </row>
    <row r="57" ht="22.5" customHeight="1">
      <c r="A57" s="18">
        <v>46006.530315474534</v>
      </c>
      <c r="B57" s="19" t="s">
        <v>176</v>
      </c>
      <c r="C57" s="19" t="s">
        <v>488</v>
      </c>
      <c r="D57" s="19" t="s">
        <v>489</v>
      </c>
      <c r="E57" s="19" t="s">
        <v>163</v>
      </c>
      <c r="F57" s="19">
        <v>14.0</v>
      </c>
      <c r="G57" s="19">
        <v>30.0</v>
      </c>
      <c r="H57" s="19">
        <v>23.0</v>
      </c>
      <c r="I57" s="19" t="s">
        <v>370</v>
      </c>
      <c r="J57" s="19">
        <v>42.9</v>
      </c>
      <c r="O57" s="22" t="str">
        <f t="array" ref="O57:O58">IF(A57:A241="",, XLOOKUP(D57:D241, 'Recal IDs Log'!E41:E241, 'Recal IDs Log'!B41:B241, "", 0, -1))</f>
        <v>#REF!</v>
      </c>
      <c r="P57" s="22">
        <f t="shared" si="3"/>
        <v>34</v>
      </c>
      <c r="Q57" s="22" t="str">
        <f t="shared" si="1"/>
        <v>Poor</v>
      </c>
      <c r="R57" s="22" t="str">
        <f t="shared" si="2"/>
        <v>Breath Beginner</v>
      </c>
    </row>
    <row r="58" ht="22.5" customHeight="1">
      <c r="A58" s="18">
        <v>46010.4995646875</v>
      </c>
      <c r="B58" s="19" t="s">
        <v>603</v>
      </c>
      <c r="C58" s="19" t="s">
        <v>604</v>
      </c>
      <c r="D58" s="19" t="s">
        <v>605</v>
      </c>
      <c r="E58" s="19" t="s">
        <v>163</v>
      </c>
      <c r="F58" s="19">
        <v>12.0</v>
      </c>
      <c r="G58" s="19">
        <v>28.0</v>
      </c>
      <c r="H58" s="19">
        <v>39.0</v>
      </c>
      <c r="I58" s="19" t="s">
        <v>184</v>
      </c>
      <c r="J58" s="19">
        <v>105.8</v>
      </c>
      <c r="O58" s="22" t="str">
        <f t="array" ref="O58:O59">IF(A58:A241="",, XLOOKUP(D58:D241, 'Recal IDs Log'!E42:E241, 'Recal IDs Log'!B42:B241, "", 0, -1))</f>
        <v>#REF!</v>
      </c>
      <c r="P58" s="22">
        <f t="shared" si="3"/>
        <v>36</v>
      </c>
      <c r="Q58" s="22" t="str">
        <f t="shared" si="1"/>
        <v>Poor</v>
      </c>
      <c r="R58" s="22" t="str">
        <f t="shared" si="2"/>
        <v>Breath Beginner</v>
      </c>
    </row>
    <row r="59" ht="22.5" customHeight="1">
      <c r="A59" s="18">
        <v>46010.69817548611</v>
      </c>
      <c r="B59" s="19" t="s">
        <v>607</v>
      </c>
      <c r="C59" s="19" t="s">
        <v>608</v>
      </c>
      <c r="D59" s="19" t="s">
        <v>609</v>
      </c>
      <c r="E59" s="19" t="s">
        <v>594</v>
      </c>
      <c r="F59" s="19">
        <v>29.0</v>
      </c>
      <c r="G59" s="19">
        <v>69.0</v>
      </c>
      <c r="H59" s="19">
        <v>70.0</v>
      </c>
      <c r="I59" s="19" t="s">
        <v>370</v>
      </c>
      <c r="J59" s="19">
        <v>105.8</v>
      </c>
      <c r="K59" s="19" t="s">
        <v>642</v>
      </c>
      <c r="L59" s="35"/>
      <c r="M59" s="35"/>
      <c r="N59" s="35"/>
      <c r="O59" s="22" t="str">
        <f t="array" ref="O59:O60">IF(A59:A241="",, XLOOKUP(D59:D241, 'Recal IDs Log'!E43:E241, 'Recal IDs Log'!B43:B241, "", 0, -1))</f>
        <v>#REF!</v>
      </c>
      <c r="P59" s="22">
        <f t="shared" si="3"/>
        <v>80</v>
      </c>
      <c r="Q59" s="22" t="str">
        <f t="shared" si="1"/>
        <v>Great</v>
      </c>
      <c r="R59" s="22" t="str">
        <f t="shared" si="2"/>
        <v>Breathwork-Trained</v>
      </c>
    </row>
    <row r="60" ht="22.5" customHeight="1">
      <c r="A60" s="18">
        <v>46010.84021172454</v>
      </c>
      <c r="B60" s="19" t="s">
        <v>577</v>
      </c>
      <c r="C60" s="19" t="s">
        <v>614</v>
      </c>
      <c r="D60" s="19" t="s">
        <v>615</v>
      </c>
      <c r="E60" s="19" t="s">
        <v>594</v>
      </c>
      <c r="F60" s="19">
        <v>22.0</v>
      </c>
      <c r="G60" s="19">
        <v>44.0</v>
      </c>
      <c r="H60" s="19">
        <v>48.0</v>
      </c>
      <c r="I60" s="19" t="s">
        <v>353</v>
      </c>
      <c r="J60" s="19">
        <v>34.7</v>
      </c>
      <c r="K60" s="19" t="s">
        <v>1251</v>
      </c>
      <c r="L60" s="35"/>
      <c r="M60" s="35"/>
      <c r="N60" s="35"/>
      <c r="O60" s="22" t="str">
        <f t="array" ref="O60:O61">IF(A60:A241="",, XLOOKUP(D60:D241, 'Recal IDs Log'!E44:E241, 'Recal IDs Log'!B44:B241, "", 0, -1))</f>
        <v>#REF!</v>
      </c>
      <c r="P60" s="22">
        <f t="shared" si="3"/>
        <v>48</v>
      </c>
      <c r="Q60" s="22" t="str">
        <f t="shared" si="1"/>
        <v>Poor</v>
      </c>
      <c r="R60" s="22" t="str">
        <f t="shared" si="2"/>
        <v>Breath Beginner</v>
      </c>
    </row>
    <row r="61" ht="22.5" customHeight="1">
      <c r="A61" s="18">
        <v>46011.969943495365</v>
      </c>
      <c r="B61" s="19" t="s">
        <v>617</v>
      </c>
      <c r="C61" s="19" t="s">
        <v>618</v>
      </c>
      <c r="D61" s="19" t="s">
        <v>619</v>
      </c>
      <c r="E61" s="19" t="s">
        <v>163</v>
      </c>
      <c r="F61" s="19">
        <v>33.0</v>
      </c>
      <c r="G61" s="19">
        <v>54.0</v>
      </c>
      <c r="H61" s="19">
        <v>43.0</v>
      </c>
      <c r="I61" s="19" t="s">
        <v>184</v>
      </c>
      <c r="J61" s="40"/>
      <c r="K61" s="19" t="s">
        <v>1271</v>
      </c>
      <c r="L61" s="35"/>
      <c r="M61" s="35"/>
      <c r="N61" s="35"/>
      <c r="O61" s="22" t="str">
        <f t="array" ref="O61:O62">IF(A61:A241="",, XLOOKUP(D61:D241, 'Recal IDs Log'!E45:E241, 'Recal IDs Log'!B45:B241, "", 0, -1))</f>
        <v>#REF!</v>
      </c>
      <c r="P61" s="22">
        <f t="shared" si="3"/>
        <v>46</v>
      </c>
      <c r="Q61" s="22" t="str">
        <f t="shared" si="1"/>
        <v>Poor</v>
      </c>
      <c r="R61" s="22" t="str">
        <f t="shared" si="2"/>
        <v>Breath Beginner</v>
      </c>
    </row>
    <row r="62" ht="22.5" customHeight="1">
      <c r="A62" s="18">
        <v>46020.55959615741</v>
      </c>
      <c r="B62" s="19" t="s">
        <v>603</v>
      </c>
      <c r="C62" s="19" t="s">
        <v>635</v>
      </c>
      <c r="D62" s="19" t="s">
        <v>605</v>
      </c>
      <c r="E62" s="19" t="s">
        <v>163</v>
      </c>
      <c r="F62" s="19">
        <v>19.0</v>
      </c>
      <c r="G62" s="19">
        <v>34.0</v>
      </c>
      <c r="H62" s="19">
        <v>50.0</v>
      </c>
      <c r="I62" s="19" t="s">
        <v>160</v>
      </c>
      <c r="J62" s="19">
        <v>105.8</v>
      </c>
      <c r="O62" s="22" t="str">
        <f t="array" ref="O62:O63">IF(A62:A241="",, XLOOKUP(D62:D241, 'Recal IDs Log'!E46:E241, 'Recal IDs Log'!B46:B241, "", 0, -1))</f>
        <v>#REF!</v>
      </c>
      <c r="P62" s="22">
        <f t="shared" si="3"/>
        <v>38</v>
      </c>
      <c r="Q62" s="22" t="str">
        <f t="shared" si="1"/>
        <v>Poor</v>
      </c>
      <c r="R62" s="22" t="str">
        <f t="shared" si="2"/>
        <v>Breath Beginner</v>
      </c>
    </row>
    <row r="63" ht="22.5" customHeight="1">
      <c r="A63" s="18">
        <v>46021.98943084491</v>
      </c>
      <c r="B63" s="19" t="s">
        <v>176</v>
      </c>
      <c r="C63" s="19" t="s">
        <v>551</v>
      </c>
      <c r="D63" s="19" t="s">
        <v>178</v>
      </c>
      <c r="E63" s="19" t="s">
        <v>163</v>
      </c>
      <c r="F63" s="19">
        <v>8.0</v>
      </c>
      <c r="G63" s="19">
        <v>22.0</v>
      </c>
      <c r="H63" s="19">
        <v>20.0</v>
      </c>
      <c r="I63" s="19" t="s">
        <v>353</v>
      </c>
      <c r="J63" s="19">
        <v>39.2</v>
      </c>
      <c r="K63" s="19" t="s">
        <v>1309</v>
      </c>
      <c r="L63" s="35"/>
      <c r="M63" s="35"/>
      <c r="N63" s="35"/>
      <c r="O63" s="22" t="str">
        <f t="array" ref="O63:O64">IF(A63:A241="",, XLOOKUP(D63:D241, 'Recal IDs Log'!E47:E241, 'Recal IDs Log'!B47:B241, "", 0, -1))</f>
        <v>#REF!</v>
      </c>
      <c r="P63" s="22">
        <f t="shared" si="3"/>
        <v>24</v>
      </c>
      <c r="Q63" s="22" t="str">
        <f t="shared" si="1"/>
        <v>Very Poor</v>
      </c>
      <c r="R63" s="22" t="str">
        <f t="shared" si="2"/>
        <v>Breath-Aware</v>
      </c>
    </row>
    <row r="64" ht="22.5" customHeight="1">
      <c r="A64" s="18">
        <v>46026.24799346065</v>
      </c>
      <c r="B64" s="19" t="s">
        <v>257</v>
      </c>
      <c r="C64" s="19" t="s">
        <v>653</v>
      </c>
      <c r="D64" s="19" t="s">
        <v>259</v>
      </c>
      <c r="E64" s="19" t="s">
        <v>163</v>
      </c>
      <c r="F64" s="19">
        <v>14.0</v>
      </c>
      <c r="G64" s="19">
        <v>37.0</v>
      </c>
      <c r="H64" s="19">
        <v>25.0</v>
      </c>
      <c r="I64" s="19" t="s">
        <v>263</v>
      </c>
      <c r="J64" s="19">
        <v>55.6</v>
      </c>
      <c r="K64" s="19" t="s">
        <v>1327</v>
      </c>
      <c r="L64" s="35"/>
      <c r="M64" s="35"/>
      <c r="N64" s="35"/>
      <c r="O64" s="22" t="str">
        <f t="array" ref="O64:O65">IF(A64:A241="",, XLOOKUP(D64:D241, 'Recal IDs Log'!E48:E241, 'Recal IDs Log'!B48:B241, "", 0, -1))</f>
        <v>#REF!</v>
      </c>
      <c r="P64" s="22">
        <f t="shared" si="3"/>
        <v>16</v>
      </c>
      <c r="Q64" s="22" t="str">
        <f t="shared" si="1"/>
        <v>Very Poor</v>
      </c>
      <c r="R64" s="22" t="str">
        <f t="shared" si="2"/>
        <v>Breath-Aware</v>
      </c>
    </row>
    <row r="65" ht="22.5" customHeight="1">
      <c r="A65" s="18">
        <v>46027.98549688657</v>
      </c>
      <c r="B65" s="19" t="s">
        <v>655</v>
      </c>
      <c r="C65" s="19" t="s">
        <v>656</v>
      </c>
      <c r="D65" s="19" t="s">
        <v>657</v>
      </c>
      <c r="E65" s="19" t="s">
        <v>163</v>
      </c>
      <c r="F65" s="19">
        <v>11.0</v>
      </c>
      <c r="G65" s="19">
        <v>62.0</v>
      </c>
      <c r="H65" s="19">
        <v>50.0</v>
      </c>
      <c r="I65" s="19" t="s">
        <v>184</v>
      </c>
      <c r="J65" s="19">
        <v>37.3</v>
      </c>
      <c r="K65" s="19" t="s">
        <v>1348</v>
      </c>
      <c r="L65" s="35"/>
      <c r="M65" s="35"/>
      <c r="N65" s="35"/>
      <c r="O65" s="22" t="str">
        <f t="array" ref="O65:O66">IF(A65:A241="",, XLOOKUP(D65:D241, 'Recal IDs Log'!E49:E241, 'Recal IDs Log'!B49:B241, "", 0, -1))</f>
        <v>#REF!</v>
      </c>
      <c r="P65" s="22">
        <f t="shared" si="3"/>
        <v>42</v>
      </c>
      <c r="Q65" s="22" t="str">
        <f t="shared" si="1"/>
        <v>Poor</v>
      </c>
      <c r="R65" s="22" t="str">
        <f t="shared" si="2"/>
        <v>Breath Beginner</v>
      </c>
    </row>
    <row r="66" ht="22.5" customHeight="1">
      <c r="A66" s="18">
        <v>46028.66764491898</v>
      </c>
      <c r="B66" s="19" t="s">
        <v>660</v>
      </c>
      <c r="C66" s="19" t="s">
        <v>661</v>
      </c>
      <c r="D66" s="19" t="s">
        <v>662</v>
      </c>
      <c r="E66" s="19" t="s">
        <v>163</v>
      </c>
      <c r="F66" s="19">
        <v>38.51</v>
      </c>
      <c r="G66" s="19">
        <v>66.0</v>
      </c>
      <c r="H66" s="19">
        <v>60.0</v>
      </c>
      <c r="I66" s="19" t="s">
        <v>160</v>
      </c>
      <c r="J66" s="19">
        <v>163.9</v>
      </c>
      <c r="O66" s="22" t="str">
        <f t="array" ref="O66:O67">IF(A66:A241="",, XLOOKUP(D66:D241, 'Recal IDs Log'!E50:E241, 'Recal IDs Log'!B50:B241, "", 0, -1))</f>
        <v>#REF!</v>
      </c>
      <c r="P66" s="22">
        <f t="shared" si="3"/>
        <v>62</v>
      </c>
      <c r="Q66" s="22" t="str">
        <f t="shared" si="1"/>
        <v>Fair</v>
      </c>
      <c r="R66" s="22" t="str">
        <f t="shared" si="2"/>
        <v>Breather-in-Training</v>
      </c>
    </row>
    <row r="67" ht="22.5" customHeight="1">
      <c r="A67" s="18">
        <v>46029.911369837966</v>
      </c>
      <c r="B67" s="19" t="s">
        <v>665</v>
      </c>
      <c r="C67" s="19" t="s">
        <v>666</v>
      </c>
      <c r="D67" s="19" t="s">
        <v>460</v>
      </c>
      <c r="E67" s="19" t="s">
        <v>594</v>
      </c>
      <c r="F67" s="19">
        <v>14.0</v>
      </c>
      <c r="G67" s="19">
        <v>42.0</v>
      </c>
      <c r="H67" s="19">
        <v>50.0</v>
      </c>
      <c r="I67" s="19" t="s">
        <v>184</v>
      </c>
      <c r="J67" s="19">
        <v>87.7</v>
      </c>
      <c r="O67" s="22" t="str">
        <f t="array" ref="O67:O68">IF(A67:A241="",, XLOOKUP(D67:D241, 'Recal IDs Log'!E51:E241, 'Recal IDs Log'!B51:B241, "", 0, -1))</f>
        <v>#REF!</v>
      </c>
      <c r="P67" s="22">
        <f t="shared" si="3"/>
        <v>42</v>
      </c>
      <c r="Q67" s="22" t="str">
        <f t="shared" si="1"/>
        <v>Poor</v>
      </c>
      <c r="R67" s="22" t="str">
        <f t="shared" si="2"/>
        <v>Breath Beginner</v>
      </c>
    </row>
    <row r="68" ht="22.5" customHeight="1">
      <c r="A68" s="18">
        <v>46031.74076552084</v>
      </c>
      <c r="B68" s="19" t="s">
        <v>670</v>
      </c>
      <c r="C68" s="19" t="s">
        <v>671</v>
      </c>
      <c r="D68" s="19" t="s">
        <v>672</v>
      </c>
      <c r="E68" s="19" t="s">
        <v>343</v>
      </c>
      <c r="F68" s="19">
        <v>62.0</v>
      </c>
      <c r="G68" s="19">
        <v>57.0</v>
      </c>
      <c r="H68" s="19">
        <v>42.0</v>
      </c>
      <c r="I68" s="19" t="s">
        <v>160</v>
      </c>
      <c r="J68" s="19">
        <v>85.7</v>
      </c>
      <c r="K68" s="19" t="s">
        <v>1397</v>
      </c>
      <c r="L68" s="35"/>
      <c r="M68" s="35"/>
      <c r="N68" s="35"/>
      <c r="O68" s="22" t="str">
        <f t="array" ref="O68:O69">IF(A68:A241="",, XLOOKUP(D68:D241, 'Recal IDs Log'!E52:E241, 'Recal IDs Log'!B52:B241, "", 0, -1))</f>
        <v>#REF!</v>
      </c>
      <c r="P68" s="22">
        <f t="shared" si="3"/>
        <v>50</v>
      </c>
      <c r="Q68" s="22" t="str">
        <f t="shared" si="1"/>
        <v>Fair</v>
      </c>
      <c r="R68" s="22" t="str">
        <f t="shared" si="2"/>
        <v>Breather-in-Training</v>
      </c>
    </row>
    <row r="69" ht="22.5" customHeight="1">
      <c r="A69" s="18">
        <v>46036.718074756944</v>
      </c>
      <c r="B69" s="19" t="s">
        <v>678</v>
      </c>
      <c r="D69" s="19" t="s">
        <v>679</v>
      </c>
      <c r="E69" s="19" t="s">
        <v>163</v>
      </c>
      <c r="F69" s="19">
        <v>21.0</v>
      </c>
      <c r="G69" s="19">
        <v>47.0</v>
      </c>
      <c r="H69" s="19">
        <v>35.0</v>
      </c>
      <c r="I69" s="19" t="s">
        <v>263</v>
      </c>
      <c r="J69" s="19">
        <v>50.0</v>
      </c>
      <c r="K69" s="19" t="s">
        <v>1416</v>
      </c>
      <c r="L69" s="35"/>
      <c r="M69" s="35"/>
      <c r="N69" s="35"/>
      <c r="O69" s="22" t="str">
        <f t="array" ref="O69:O70">IF(A69:A241="",, XLOOKUP(D69:D241, 'Recal IDs Log'!E53:E241, 'Recal IDs Log'!B53:B241, "", 0, -1))</f>
        <v>#REF!</v>
      </c>
      <c r="P69" s="22">
        <f t="shared" si="3"/>
        <v>24</v>
      </c>
      <c r="Q69" s="22" t="str">
        <f t="shared" si="1"/>
        <v>Very Poor</v>
      </c>
      <c r="R69" s="22" t="str">
        <f t="shared" si="2"/>
        <v>Breath-Aware</v>
      </c>
    </row>
    <row r="70" ht="22.5" customHeight="1">
      <c r="A70" s="18">
        <v>46037.91019163195</v>
      </c>
      <c r="B70" s="19" t="s">
        <v>682</v>
      </c>
      <c r="D70" s="19" t="s">
        <v>683</v>
      </c>
      <c r="E70" s="19" t="s">
        <v>163</v>
      </c>
      <c r="F70" s="19">
        <v>35.0</v>
      </c>
      <c r="G70" s="19">
        <v>57.0</v>
      </c>
      <c r="H70" s="19">
        <v>61.0</v>
      </c>
      <c r="I70" s="19" t="s">
        <v>184</v>
      </c>
      <c r="J70" s="19">
        <v>177.4</v>
      </c>
      <c r="O70" s="22" t="str">
        <f t="array" ref="O70:O71">IF(A70:A241="",, XLOOKUP(D70:D241, 'Recal IDs Log'!E54:E241, 'Recal IDs Log'!B54:B241, "", 0, -1))</f>
        <v>#REF!</v>
      </c>
      <c r="P70" s="22">
        <f t="shared" si="3"/>
        <v>68</v>
      </c>
      <c r="Q70" s="22" t="str">
        <f t="shared" si="1"/>
        <v>Good</v>
      </c>
      <c r="R70" s="22" t="str">
        <f t="shared" si="2"/>
        <v>Functional Breather</v>
      </c>
    </row>
    <row r="71" ht="22.5" customHeight="1">
      <c r="A71" s="18">
        <v>46038.11231164352</v>
      </c>
      <c r="B71" s="19" t="s">
        <v>685</v>
      </c>
      <c r="D71" s="19" t="s">
        <v>686</v>
      </c>
      <c r="E71" s="19" t="s">
        <v>594</v>
      </c>
      <c r="F71" s="19">
        <v>17.0</v>
      </c>
      <c r="G71" s="19">
        <v>27.0</v>
      </c>
      <c r="H71" s="19">
        <v>30.0</v>
      </c>
      <c r="I71" s="19" t="s">
        <v>353</v>
      </c>
      <c r="J71" s="19">
        <v>125.0</v>
      </c>
      <c r="K71" s="19" t="s">
        <v>1424</v>
      </c>
      <c r="L71" s="35"/>
      <c r="M71" s="35"/>
      <c r="N71" s="35"/>
      <c r="O71" s="22" t="str">
        <f t="array" ref="O71:O72">IF(A71:A241="",, XLOOKUP(D71:D241, 'Recal IDs Log'!E55:E241, 'Recal IDs Log'!B55:B241, "", 0, -1))</f>
        <v>#REF!</v>
      </c>
      <c r="P71" s="22">
        <f t="shared" si="3"/>
        <v>46</v>
      </c>
      <c r="Q71" s="22" t="str">
        <f t="shared" si="1"/>
        <v>Poor</v>
      </c>
      <c r="R71" s="22" t="str">
        <f t="shared" si="2"/>
        <v>Breath Beginner</v>
      </c>
    </row>
    <row r="72" ht="22.5" customHeight="1">
      <c r="A72" s="18">
        <v>46038.14965565973</v>
      </c>
      <c r="B72" s="19" t="s">
        <v>1297</v>
      </c>
      <c r="D72" s="19" t="s">
        <v>689</v>
      </c>
      <c r="E72" s="19" t="s">
        <v>163</v>
      </c>
      <c r="F72" s="19">
        <v>27.0</v>
      </c>
      <c r="G72" s="19">
        <v>68.0</v>
      </c>
      <c r="H72" s="19">
        <v>45.0</v>
      </c>
      <c r="I72" s="19" t="s">
        <v>184</v>
      </c>
      <c r="J72" s="19">
        <v>64.9</v>
      </c>
      <c r="K72" s="19" t="s">
        <v>1427</v>
      </c>
      <c r="L72" s="35"/>
      <c r="M72" s="35"/>
      <c r="N72" s="35"/>
      <c r="O72" s="22" t="str">
        <f t="array" ref="O72:O73">IF(A72:A241="",, XLOOKUP(D72:D241, 'Recal IDs Log'!E56:E241, 'Recal IDs Log'!B56:B241, "", 0, -1))</f>
        <v>#REF!</v>
      </c>
      <c r="P72" s="22">
        <f t="shared" si="3"/>
        <v>50</v>
      </c>
      <c r="Q72" s="22" t="str">
        <f t="shared" si="1"/>
        <v>Fair</v>
      </c>
      <c r="R72" s="22" t="str">
        <f t="shared" si="2"/>
        <v>Breather-in-Training</v>
      </c>
    </row>
    <row r="73" ht="22.5" customHeight="1">
      <c r="A73" s="18">
        <v>46040.593937858794</v>
      </c>
      <c r="B73" s="19" t="s">
        <v>691</v>
      </c>
      <c r="D73" s="19" t="s">
        <v>336</v>
      </c>
      <c r="E73" s="19" t="s">
        <v>343</v>
      </c>
      <c r="F73" s="19">
        <v>16.0</v>
      </c>
      <c r="G73" s="19">
        <v>39.0</v>
      </c>
      <c r="H73" s="19">
        <v>60.0</v>
      </c>
      <c r="I73" s="19" t="s">
        <v>353</v>
      </c>
      <c r="J73" s="19">
        <v>25.0</v>
      </c>
      <c r="K73" s="19" t="s">
        <v>1429</v>
      </c>
      <c r="L73" s="35"/>
      <c r="M73" s="35"/>
      <c r="N73" s="35"/>
      <c r="O73" s="22" t="str">
        <f t="array" ref="O73:O74">IF(A73:A241="",, XLOOKUP(D73:D241, 'Recal IDs Log'!E57:E241, 'Recal IDs Log'!B57:B241, "", 0, -1))</f>
        <v>#REF!</v>
      </c>
      <c r="P73" s="22">
        <f t="shared" si="3"/>
        <v>48</v>
      </c>
      <c r="Q73" s="22" t="str">
        <f t="shared" si="1"/>
        <v>Poor</v>
      </c>
      <c r="R73" s="22" t="str">
        <f t="shared" si="2"/>
        <v>Breath Beginner</v>
      </c>
    </row>
    <row r="74" ht="22.5" customHeight="1">
      <c r="A74" s="18">
        <v>46041.900723900464</v>
      </c>
      <c r="B74" s="19" t="s">
        <v>693</v>
      </c>
      <c r="D74" s="19" t="s">
        <v>694</v>
      </c>
      <c r="E74" s="19" t="s">
        <v>163</v>
      </c>
      <c r="F74" s="19">
        <v>34.0</v>
      </c>
      <c r="G74" s="19">
        <v>104.0</v>
      </c>
      <c r="H74" s="19">
        <v>72.0</v>
      </c>
      <c r="I74" s="19" t="s">
        <v>184</v>
      </c>
      <c r="J74" s="19">
        <v>62.5</v>
      </c>
      <c r="K74" s="19" t="s">
        <v>1434</v>
      </c>
      <c r="L74" s="35"/>
      <c r="M74" s="35"/>
      <c r="N74" s="35"/>
      <c r="O74" s="22" t="str">
        <f t="array" ref="O74:O75">IF(A74:A241="",, XLOOKUP(D74:D241, 'Recal IDs Log'!E58:E241, 'Recal IDs Log'!B58:B241, "", 0, -1))</f>
        <v>#REF!</v>
      </c>
      <c r="P74" s="22">
        <f t="shared" si="3"/>
        <v>72</v>
      </c>
      <c r="Q74" s="22" t="str">
        <f t="shared" si="1"/>
        <v>Good</v>
      </c>
      <c r="R74" s="22" t="str">
        <f t="shared" si="2"/>
        <v>Functional Breather</v>
      </c>
    </row>
    <row r="75" ht="22.5" customHeight="1">
      <c r="A75" s="18">
        <v>46047.025689120375</v>
      </c>
      <c r="B75" s="19" t="s">
        <v>721</v>
      </c>
      <c r="D75" s="19" t="s">
        <v>722</v>
      </c>
      <c r="E75" s="19" t="s">
        <v>163</v>
      </c>
      <c r="F75" s="19">
        <v>22.0</v>
      </c>
      <c r="G75" s="19">
        <v>35.0</v>
      </c>
      <c r="H75" s="19">
        <v>24.0</v>
      </c>
      <c r="I75" s="19" t="s">
        <v>184</v>
      </c>
      <c r="J75" s="19">
        <v>27.4</v>
      </c>
      <c r="K75" s="19" t="s">
        <v>1438</v>
      </c>
      <c r="L75" s="35"/>
      <c r="M75" s="35"/>
      <c r="N75" s="35"/>
      <c r="O75" s="22" t="str">
        <f t="array" ref="O75:O76">IF(A75:A241="",, XLOOKUP(D75:D241, 'Recal IDs Log'!E59:E241, 'Recal IDs Log'!B59:B241, "", 0, -1))</f>
        <v>#REF!</v>
      </c>
      <c r="P75" s="22">
        <f t="shared" si="3"/>
        <v>26</v>
      </c>
      <c r="Q75" s="22" t="str">
        <f t="shared" si="1"/>
        <v>Very Poor</v>
      </c>
      <c r="R75" s="22" t="str">
        <f t="shared" si="2"/>
        <v>Breath-Aware</v>
      </c>
    </row>
    <row r="76" ht="22.5" customHeight="1">
      <c r="A76" s="18">
        <v>46048.01635664352</v>
      </c>
      <c r="B76" s="19" t="s">
        <v>724</v>
      </c>
      <c r="D76" s="19" t="s">
        <v>725</v>
      </c>
      <c r="E76" s="19" t="s">
        <v>594</v>
      </c>
      <c r="F76" s="19">
        <v>27.0</v>
      </c>
      <c r="G76" s="19">
        <v>49.0</v>
      </c>
      <c r="H76" s="19">
        <v>47.0</v>
      </c>
      <c r="I76" s="19" t="s">
        <v>263</v>
      </c>
      <c r="J76" s="19">
        <v>42.9</v>
      </c>
      <c r="O76" s="22" t="str">
        <f t="array" ref="O76:O77">IF(A76:A241="",, XLOOKUP(D76:D241, 'Recal IDs Log'!E60:E241, 'Recal IDs Log'!B60:B241, "", 0, -1))</f>
        <v>#REF!</v>
      </c>
      <c r="P76" s="22">
        <f t="shared" si="3"/>
        <v>32</v>
      </c>
      <c r="Q76" s="22" t="str">
        <f t="shared" si="1"/>
        <v>Poor</v>
      </c>
      <c r="R76" s="22" t="str">
        <f t="shared" si="2"/>
        <v>Breath Beginner</v>
      </c>
    </row>
    <row r="77" ht="22.5" customHeight="1">
      <c r="A77" s="18">
        <v>46050.86664317129</v>
      </c>
      <c r="B77" s="19" t="s">
        <v>727</v>
      </c>
      <c r="D77" s="19" t="s">
        <v>728</v>
      </c>
      <c r="E77" s="19" t="s">
        <v>163</v>
      </c>
      <c r="F77" s="19">
        <v>16.0</v>
      </c>
      <c r="G77" s="19">
        <v>41.0</v>
      </c>
      <c r="H77" s="19">
        <v>48.0</v>
      </c>
      <c r="I77" s="19" t="s">
        <v>184</v>
      </c>
      <c r="J77" s="19">
        <v>133.3</v>
      </c>
      <c r="K77" s="19" t="s">
        <v>1442</v>
      </c>
      <c r="L77" s="35"/>
      <c r="M77" s="35"/>
      <c r="N77" s="35"/>
      <c r="O77" s="22" t="str">
        <f t="array" ref="O77:O78">IF(A77:A241="",, XLOOKUP(D77:D241, 'Recal IDs Log'!E61:E241, 'Recal IDs Log'!B61:B241, "", 0, -1))</f>
        <v>#REF!</v>
      </c>
      <c r="P77" s="22">
        <f t="shared" si="3"/>
        <v>50</v>
      </c>
      <c r="Q77" s="22" t="str">
        <f t="shared" si="1"/>
        <v>Fair</v>
      </c>
      <c r="R77" s="22" t="str">
        <f t="shared" si="2"/>
        <v>Breather-in-Training</v>
      </c>
    </row>
    <row r="78" ht="22.5" customHeight="1">
      <c r="A78" s="18">
        <v>46058.415787881946</v>
      </c>
      <c r="B78" s="19" t="s">
        <v>730</v>
      </c>
      <c r="D78" s="19" t="s">
        <v>731</v>
      </c>
      <c r="E78" s="19" t="s">
        <v>163</v>
      </c>
      <c r="F78" s="19">
        <v>16.0</v>
      </c>
      <c r="G78" s="19">
        <v>75.0</v>
      </c>
      <c r="H78" s="19">
        <v>24.0</v>
      </c>
      <c r="I78" s="19" t="s">
        <v>353</v>
      </c>
      <c r="J78" s="19">
        <v>126.4</v>
      </c>
      <c r="K78" s="19" t="s">
        <v>1444</v>
      </c>
      <c r="L78" s="35"/>
      <c r="M78" s="35"/>
      <c r="N78" s="35"/>
      <c r="O78" s="22" t="str">
        <f t="array" ref="O78:O79">IF(A78:A241="",, XLOOKUP(D78:D241, 'Recal IDs Log'!E62:E241, 'Recal IDs Log'!B62:B241, "", 0, -1))</f>
        <v>#REF!</v>
      </c>
      <c r="P78" s="22">
        <f t="shared" si="3"/>
        <v>52</v>
      </c>
      <c r="Q78" s="22" t="str">
        <f t="shared" si="1"/>
        <v>Fair</v>
      </c>
      <c r="R78" s="22" t="str">
        <f t="shared" si="2"/>
        <v>Breather-in-Training</v>
      </c>
    </row>
    <row r="79" ht="22.5" customHeight="1">
      <c r="A79" s="18">
        <v>46064.8486762963</v>
      </c>
      <c r="B79" s="19" t="s">
        <v>741</v>
      </c>
      <c r="D79" s="19" t="s">
        <v>742</v>
      </c>
      <c r="E79" s="19" t="s">
        <v>594</v>
      </c>
      <c r="F79" s="19">
        <v>9.0</v>
      </c>
      <c r="G79" s="19">
        <v>42.0</v>
      </c>
      <c r="H79" s="19">
        <v>45.0</v>
      </c>
      <c r="I79" s="19" t="s">
        <v>184</v>
      </c>
      <c r="K79" s="19" t="s">
        <v>1447</v>
      </c>
      <c r="L79" s="19">
        <v>4.0</v>
      </c>
      <c r="M79" s="19">
        <v>33.0</v>
      </c>
      <c r="N79" s="19" t="s">
        <v>198</v>
      </c>
      <c r="O79" s="22" t="str">
        <f t="array" ref="O79:O80">IF(A79:A241="",, XLOOKUP(D79:D241, 'Recal IDs Log'!E63:E241, 'Recal IDs Log'!B63:B241, "", 0, -1))</f>
        <v>#REF!</v>
      </c>
      <c r="P79" s="22">
        <f t="shared" si="3"/>
        <v>38</v>
      </c>
      <c r="Q79" s="22" t="str">
        <f t="shared" si="1"/>
        <v>Poor</v>
      </c>
      <c r="R79" s="22" t="str">
        <f t="shared" si="2"/>
        <v>Breath Beginner</v>
      </c>
    </row>
    <row r="80" ht="22.5" customHeight="1">
      <c r="A80" s="18">
        <v>46064.91515936343</v>
      </c>
      <c r="B80" s="19" t="s">
        <v>752</v>
      </c>
      <c r="D80" s="19" t="s">
        <v>754</v>
      </c>
      <c r="E80" s="19" t="s">
        <v>163</v>
      </c>
      <c r="F80" s="19">
        <v>11.0</v>
      </c>
      <c r="G80" s="19">
        <v>49.0</v>
      </c>
      <c r="H80" s="19">
        <v>65.0</v>
      </c>
      <c r="I80" s="19" t="s">
        <v>353</v>
      </c>
      <c r="K80" s="19" t="s">
        <v>1452</v>
      </c>
      <c r="L80" s="19">
        <v>10.0</v>
      </c>
      <c r="M80" s="19">
        <v>56.0</v>
      </c>
      <c r="N80" s="19" t="s">
        <v>157</v>
      </c>
      <c r="O80" s="22" t="str">
        <f t="array" ref="O80:O81">IF(A80:A241="",, XLOOKUP(D80:D241, 'Recal IDs Log'!E64:E241, 'Recal IDs Log'!B64:B241, "", 0, -1))</f>
        <v>#REF!</v>
      </c>
      <c r="P80" s="22">
        <f t="shared" si="3"/>
        <v>50</v>
      </c>
      <c r="Q80" s="22" t="str">
        <f t="shared" si="1"/>
        <v>Fair</v>
      </c>
      <c r="R80" s="22" t="str">
        <f t="shared" si="2"/>
        <v>Breather-in-Training</v>
      </c>
    </row>
    <row r="81" ht="22.5" customHeight="1">
      <c r="A81" s="18">
        <v>46068.47025825232</v>
      </c>
      <c r="B81" s="19" t="s">
        <v>1330</v>
      </c>
      <c r="D81" s="19" t="s">
        <v>763</v>
      </c>
      <c r="E81" s="19" t="s">
        <v>163</v>
      </c>
      <c r="F81" s="19">
        <v>34.0</v>
      </c>
      <c r="G81" s="19">
        <v>25.6</v>
      </c>
      <c r="H81" s="19">
        <v>30.0</v>
      </c>
      <c r="I81" s="19" t="s">
        <v>184</v>
      </c>
      <c r="K81" s="19" t="s">
        <v>1453</v>
      </c>
      <c r="L81" s="19">
        <v>5.0</v>
      </c>
      <c r="M81" s="19">
        <v>52.0</v>
      </c>
      <c r="N81" s="19" t="s">
        <v>198</v>
      </c>
      <c r="O81" s="22" t="str">
        <f t="array" ref="O81:O82">IF(A81:A241="",, XLOOKUP(D81:D241, 'Recal IDs Log'!E65:E241, 'Recal IDs Log'!B65:B241, "", 0, -1))</f>
        <v>#REF!</v>
      </c>
      <c r="P81" s="22">
        <f t="shared" si="3"/>
        <v>36</v>
      </c>
      <c r="Q81" s="22" t="str">
        <f t="shared" si="1"/>
        <v>Poor</v>
      </c>
      <c r="R81" s="22" t="str">
        <f t="shared" si="2"/>
        <v>Breath Beginner</v>
      </c>
    </row>
    <row r="82" ht="22.5" customHeight="1">
      <c r="A82" s="18">
        <v>46069.97351393518</v>
      </c>
      <c r="B82" s="19" t="s">
        <v>765</v>
      </c>
      <c r="D82" s="19" t="s">
        <v>766</v>
      </c>
      <c r="E82" s="19" t="s">
        <v>343</v>
      </c>
      <c r="F82" s="19">
        <v>18.0</v>
      </c>
      <c r="G82" s="19">
        <v>38.0</v>
      </c>
      <c r="H82" s="19">
        <v>37.0</v>
      </c>
      <c r="I82" s="19" t="s">
        <v>184</v>
      </c>
      <c r="K82" s="19" t="s">
        <v>1457</v>
      </c>
      <c r="L82" s="19">
        <v>10.0</v>
      </c>
      <c r="M82" s="19">
        <v>49.0</v>
      </c>
      <c r="N82" s="19" t="s">
        <v>198</v>
      </c>
      <c r="O82" s="22" t="str">
        <f t="array" ref="O82:O83">IF(A82:A241="",, XLOOKUP(D82:D241, 'Recal IDs Log'!E66:E241, 'Recal IDs Log'!B66:B241, "", 0, -1))</f>
        <v>#REF!</v>
      </c>
      <c r="P82" s="22">
        <f t="shared" si="3"/>
        <v>30</v>
      </c>
      <c r="Q82" s="22" t="str">
        <f t="shared" si="1"/>
        <v>Very Poor</v>
      </c>
      <c r="R82" s="22" t="str">
        <f t="shared" si="2"/>
        <v>Breath-Aware</v>
      </c>
    </row>
    <row r="83" ht="22.5" customHeight="1">
      <c r="A83" s="18">
        <v>46076.827845011576</v>
      </c>
      <c r="B83" s="19" t="s">
        <v>543</v>
      </c>
      <c r="D83" s="19" t="s">
        <v>768</v>
      </c>
      <c r="E83" s="19" t="s">
        <v>163</v>
      </c>
      <c r="F83" s="19">
        <v>15.0</v>
      </c>
      <c r="G83" s="19">
        <v>41.0</v>
      </c>
      <c r="H83" s="19">
        <v>26.0</v>
      </c>
      <c r="I83" s="19" t="s">
        <v>184</v>
      </c>
      <c r="K83" s="19" t="s">
        <v>1461</v>
      </c>
      <c r="L83" s="19">
        <v>3.0</v>
      </c>
      <c r="M83" s="19">
        <v>73.0</v>
      </c>
      <c r="N83" s="19" t="s">
        <v>157</v>
      </c>
      <c r="O83" s="22" t="str">
        <f t="array" ref="O83:O84">IF(A83:A241="",, XLOOKUP(D83:D241, 'Recal IDs Log'!E67:E241, 'Recal IDs Log'!B67:B241, "", 0, -1))</f>
        <v>#REF!</v>
      </c>
      <c r="P83" s="22">
        <f t="shared" si="3"/>
        <v>34</v>
      </c>
      <c r="Q83" s="22" t="str">
        <f t="shared" si="1"/>
        <v>Poor</v>
      </c>
      <c r="R83" s="22" t="str">
        <f t="shared" si="2"/>
        <v>Breath Beginner</v>
      </c>
    </row>
    <row r="84" ht="22.5" customHeight="1">
      <c r="A84" s="18">
        <v>46081.044702326384</v>
      </c>
      <c r="B84" s="19" t="s">
        <v>770</v>
      </c>
      <c r="D84" s="19" t="s">
        <v>771</v>
      </c>
      <c r="E84" s="19" t="s">
        <v>163</v>
      </c>
      <c r="F84" s="19">
        <v>21.0</v>
      </c>
      <c r="G84" s="19">
        <v>40.0</v>
      </c>
      <c r="H84" s="19">
        <v>34.0</v>
      </c>
      <c r="I84" s="19" t="s">
        <v>184</v>
      </c>
      <c r="K84" s="19" t="s">
        <v>1470</v>
      </c>
      <c r="L84" s="19">
        <v>6.0</v>
      </c>
      <c r="M84" s="19">
        <v>46.0</v>
      </c>
      <c r="N84" s="19" t="s">
        <v>157</v>
      </c>
      <c r="O84" s="22" t="str">
        <f t="array" ref="O84:O85">IF(A84:A241="",, XLOOKUP(D84:D241, 'Recal IDs Log'!E68:E241, 'Recal IDs Log'!B68:B241, "", 0, -1))</f>
        <v>#REF!</v>
      </c>
      <c r="P84" s="22">
        <f t="shared" si="3"/>
        <v>36</v>
      </c>
      <c r="Q84" s="22" t="str">
        <f t="shared" si="1"/>
        <v>Poor</v>
      </c>
      <c r="R84" s="22" t="str">
        <f t="shared" si="2"/>
        <v>Breath Beginner</v>
      </c>
    </row>
    <row r="85" ht="22.5" customHeight="1">
      <c r="A85" s="18">
        <v>46086.7234378588</v>
      </c>
      <c r="B85" s="19" t="s">
        <v>773</v>
      </c>
      <c r="D85" s="19" t="s">
        <v>774</v>
      </c>
      <c r="E85" s="19" t="s">
        <v>163</v>
      </c>
      <c r="F85" s="19">
        <v>20.0</v>
      </c>
      <c r="G85" s="19">
        <v>21.0</v>
      </c>
      <c r="H85" s="19">
        <v>20.0</v>
      </c>
      <c r="I85" s="19" t="s">
        <v>184</v>
      </c>
      <c r="K85" s="19" t="s">
        <v>1474</v>
      </c>
      <c r="L85" s="19">
        <v>7.0</v>
      </c>
      <c r="M85" s="19">
        <v>45.0</v>
      </c>
      <c r="N85" s="19" t="s">
        <v>157</v>
      </c>
      <c r="O85" s="22" t="str">
        <f t="array" ref="O85:O86">IF(A85:A241="",, XLOOKUP(D85:D241, 'Recal IDs Log'!E69:E241, 'Recal IDs Log'!B69:B241, "", 0, -1))</f>
        <v>#REF!</v>
      </c>
      <c r="P85" s="22">
        <f t="shared" si="3"/>
        <v>22</v>
      </c>
      <c r="Q85" s="22" t="str">
        <f t="shared" si="1"/>
        <v>Very Poor</v>
      </c>
      <c r="R85" s="22" t="str">
        <f t="shared" si="2"/>
        <v>Breath-Aware</v>
      </c>
    </row>
    <row r="86" ht="22.5" customHeight="1">
      <c r="A86" s="18">
        <v>46092.011749513884</v>
      </c>
      <c r="B86" s="19" t="s">
        <v>776</v>
      </c>
      <c r="D86" s="19" t="s">
        <v>777</v>
      </c>
      <c r="E86" s="19" t="s">
        <v>163</v>
      </c>
      <c r="F86" s="19">
        <v>27.0</v>
      </c>
      <c r="G86" s="19">
        <v>50.0</v>
      </c>
      <c r="H86" s="19">
        <v>30.0</v>
      </c>
      <c r="I86" s="19" t="s">
        <v>184</v>
      </c>
      <c r="K86" s="19" t="s">
        <v>1480</v>
      </c>
      <c r="L86" s="19">
        <v>12.0</v>
      </c>
      <c r="M86" s="19">
        <v>58.0</v>
      </c>
      <c r="N86" s="19" t="s">
        <v>157</v>
      </c>
      <c r="O86" s="22" t="str">
        <f t="array" ref="O86:O87">IF(A86:A241="",, XLOOKUP(D86:D241, 'Recal IDs Log'!E70:E241, 'Recal IDs Log'!B70:B241, "", 0, -1))</f>
        <v>#REF!</v>
      </c>
      <c r="P86" s="22">
        <f t="shared" si="3"/>
        <v>38</v>
      </c>
      <c r="Q86" s="22" t="str">
        <f t="shared" si="1"/>
        <v>Poor</v>
      </c>
      <c r="R86" s="22" t="str">
        <f t="shared" si="2"/>
        <v>Breath Beginner</v>
      </c>
    </row>
    <row r="87" ht="22.5" customHeight="1">
      <c r="A87" s="18">
        <v>46092.69383590278</v>
      </c>
      <c r="B87" s="19" t="s">
        <v>779</v>
      </c>
      <c r="D87" s="19" t="s">
        <v>780</v>
      </c>
      <c r="E87" s="19" t="s">
        <v>163</v>
      </c>
      <c r="F87" s="19">
        <v>22.0</v>
      </c>
      <c r="G87" s="19">
        <v>45.0</v>
      </c>
      <c r="H87" s="19">
        <v>40.0</v>
      </c>
      <c r="I87" s="19" t="s">
        <v>184</v>
      </c>
      <c r="K87" s="19" t="s">
        <v>1485</v>
      </c>
      <c r="L87" s="19">
        <v>26.0</v>
      </c>
      <c r="M87" s="19">
        <v>64.0</v>
      </c>
      <c r="N87" s="19" t="s">
        <v>198</v>
      </c>
      <c r="O87" s="22" t="str">
        <f t="array" ref="O87:O88">IF(A87:A241="",, XLOOKUP(D87:D241, 'Recal IDs Log'!E71:E241, 'Recal IDs Log'!B71:B241, "", 0, -1))</f>
        <v>#REF!</v>
      </c>
      <c r="P87" s="22">
        <f t="shared" si="3"/>
        <v>42</v>
      </c>
      <c r="Q87" s="22" t="str">
        <f t="shared" si="1"/>
        <v>Poor</v>
      </c>
      <c r="R87" s="22" t="str">
        <f t="shared" si="2"/>
        <v>Breath Beginner</v>
      </c>
    </row>
    <row r="88" ht="22.5" customHeight="1">
      <c r="A88" s="18">
        <v>46093.72950890046</v>
      </c>
      <c r="B88" s="19" t="s">
        <v>782</v>
      </c>
      <c r="D88" s="19" t="s">
        <v>783</v>
      </c>
      <c r="E88" s="19" t="s">
        <v>594</v>
      </c>
      <c r="F88" s="19">
        <v>18.0</v>
      </c>
      <c r="G88" s="19">
        <v>40.0</v>
      </c>
      <c r="H88" s="19">
        <v>15.0</v>
      </c>
      <c r="I88" s="19" t="s">
        <v>184</v>
      </c>
      <c r="K88" s="19" t="s">
        <v>1490</v>
      </c>
      <c r="L88" s="19">
        <v>10.0</v>
      </c>
      <c r="M88" s="19">
        <v>67.0</v>
      </c>
      <c r="N88" s="19" t="s">
        <v>157</v>
      </c>
      <c r="O88" s="22" t="str">
        <f t="array" ref="O88:O89">IF(A88:A241="",, XLOOKUP(D88:D241, 'Recal IDs Log'!E72:E241, 'Recal IDs Log'!B72:B241, "", 0, -1))</f>
        <v>#REF!</v>
      </c>
      <c r="P88" s="22">
        <f t="shared" si="3"/>
        <v>28</v>
      </c>
      <c r="Q88" s="22" t="str">
        <f t="shared" si="1"/>
        <v>Very Poor</v>
      </c>
      <c r="R88" s="22" t="str">
        <f t="shared" si="2"/>
        <v>Breath-Aware</v>
      </c>
    </row>
    <row r="89" ht="22.5" customHeight="1">
      <c r="A89" s="18">
        <v>46093.93048202546</v>
      </c>
      <c r="B89" s="19" t="s">
        <v>721</v>
      </c>
      <c r="D89" s="19" t="s">
        <v>722</v>
      </c>
      <c r="E89" s="19" t="s">
        <v>594</v>
      </c>
      <c r="F89" s="19">
        <v>15.0</v>
      </c>
      <c r="G89" s="19">
        <v>37.0</v>
      </c>
      <c r="H89" s="19">
        <v>35.0</v>
      </c>
      <c r="I89" s="19" t="s">
        <v>184</v>
      </c>
      <c r="L89" s="19">
        <v>8.0</v>
      </c>
      <c r="M89" s="19">
        <v>53.0</v>
      </c>
      <c r="N89" s="19" t="s">
        <v>198</v>
      </c>
      <c r="O89" s="22" t="str">
        <f t="array" ref="O89:O90">IF(A89:A241="",, XLOOKUP(D89:D241, 'Recal IDs Log'!E73:E241, 'Recal IDs Log'!B73:B241, "", 0, -1))</f>
        <v>#REF!</v>
      </c>
      <c r="P89" s="22">
        <f t="shared" si="3"/>
        <v>30</v>
      </c>
      <c r="Q89" s="22" t="str">
        <f t="shared" si="1"/>
        <v>Very Poor</v>
      </c>
      <c r="R89" s="22" t="str">
        <f t="shared" si="2"/>
        <v>Breath-Aware</v>
      </c>
    </row>
    <row r="90" ht="22.5" customHeight="1">
      <c r="A90" s="18">
        <v>46093.97355009259</v>
      </c>
      <c r="B90" s="19" t="s">
        <v>787</v>
      </c>
      <c r="D90" s="19" t="s">
        <v>788</v>
      </c>
      <c r="E90" s="19" t="s">
        <v>594</v>
      </c>
      <c r="F90" s="19">
        <v>21.0</v>
      </c>
      <c r="G90" s="19">
        <v>31.0</v>
      </c>
      <c r="H90" s="19">
        <v>45.0</v>
      </c>
      <c r="I90" s="19" t="s">
        <v>184</v>
      </c>
      <c r="K90" s="19" t="s">
        <v>1496</v>
      </c>
      <c r="L90" s="19">
        <v>7.0</v>
      </c>
      <c r="M90" s="19">
        <v>27.0</v>
      </c>
      <c r="N90" s="19" t="s">
        <v>157</v>
      </c>
      <c r="O90" s="22" t="str">
        <f t="array" ref="O90:O91">IF(A90:A241="",, XLOOKUP(D90:D241, 'Recal IDs Log'!E74:E241, 'Recal IDs Log'!B74:B241, "", 0, -1))</f>
        <v>#REF!</v>
      </c>
      <c r="P90" s="22">
        <f t="shared" si="3"/>
        <v>38</v>
      </c>
      <c r="Q90" s="22" t="str">
        <f t="shared" si="1"/>
        <v>Poor</v>
      </c>
      <c r="R90" s="22" t="str">
        <f t="shared" si="2"/>
        <v>Breath Beginner</v>
      </c>
    </row>
    <row r="91" ht="22.5" customHeight="1">
      <c r="A91" s="18">
        <v>46094.11636792824</v>
      </c>
      <c r="B91" s="19" t="s">
        <v>8</v>
      </c>
      <c r="D91" s="19" t="s">
        <v>216</v>
      </c>
      <c r="E91" s="19" t="s">
        <v>343</v>
      </c>
      <c r="F91" s="19">
        <v>24.0</v>
      </c>
      <c r="G91" s="19">
        <v>30.0</v>
      </c>
      <c r="H91" s="19">
        <v>43.0</v>
      </c>
      <c r="I91" s="19" t="s">
        <v>263</v>
      </c>
      <c r="K91" s="19" t="s">
        <v>1502</v>
      </c>
      <c r="L91" s="19">
        <v>5.0</v>
      </c>
      <c r="M91" s="19">
        <v>44.0</v>
      </c>
      <c r="N91" s="19" t="s">
        <v>198</v>
      </c>
      <c r="O91" s="22" t="str">
        <f t="array" ref="O91:O92">IF(A91:A241="",, XLOOKUP(D91:D241, 'Recal IDs Log'!E75:E241, 'Recal IDs Log'!B75:B241, "", 0, -1))</f>
        <v>#REF!</v>
      </c>
      <c r="P91" s="22">
        <f t="shared" si="3"/>
        <v>26</v>
      </c>
      <c r="Q91" s="22" t="str">
        <f t="shared" si="1"/>
        <v>Very Poor</v>
      </c>
      <c r="R91" s="22" t="str">
        <f t="shared" si="2"/>
        <v>Breath-Aware</v>
      </c>
    </row>
    <row r="92" ht="22.5" customHeight="1">
      <c r="A92" s="18">
        <v>46095.008866504635</v>
      </c>
      <c r="B92" s="19" t="s">
        <v>792</v>
      </c>
      <c r="D92" s="19" t="s">
        <v>794</v>
      </c>
      <c r="E92" s="19" t="s">
        <v>163</v>
      </c>
      <c r="F92" s="19">
        <v>18.0</v>
      </c>
      <c r="G92" s="19">
        <v>45.0</v>
      </c>
      <c r="H92" s="19">
        <v>35.0</v>
      </c>
      <c r="I92" s="19" t="s">
        <v>184</v>
      </c>
      <c r="K92" s="19" t="s">
        <v>1508</v>
      </c>
      <c r="L92" s="19">
        <v>14.0</v>
      </c>
      <c r="M92" s="19">
        <v>37.0</v>
      </c>
      <c r="N92" s="19" t="s">
        <v>198</v>
      </c>
      <c r="O92" s="22" t="str">
        <f t="array" ref="O92:O93">IF(A92:A241="",, XLOOKUP(D92:D241, 'Recal IDs Log'!E76:E241, 'Recal IDs Log'!B76:B241, "", 0, -1))</f>
        <v>#REF!</v>
      </c>
      <c r="P92" s="22">
        <f t="shared" si="3"/>
        <v>34</v>
      </c>
      <c r="Q92" s="22" t="str">
        <f t="shared" si="1"/>
        <v>Poor</v>
      </c>
      <c r="R92" s="22" t="str">
        <f t="shared" si="2"/>
        <v>Breath Beginner</v>
      </c>
    </row>
    <row r="93" ht="22.5" customHeight="1">
      <c r="A93" s="18">
        <v>46096.25300603009</v>
      </c>
      <c r="B93" s="19" t="s">
        <v>797</v>
      </c>
      <c r="D93" s="19" t="s">
        <v>799</v>
      </c>
      <c r="E93" s="19" t="s">
        <v>163</v>
      </c>
      <c r="F93" s="19">
        <v>20.0</v>
      </c>
      <c r="G93" s="19">
        <v>68.0</v>
      </c>
      <c r="H93" s="19">
        <v>85.0</v>
      </c>
      <c r="I93" s="19" t="s">
        <v>184</v>
      </c>
      <c r="K93" s="19" t="s">
        <v>1515</v>
      </c>
      <c r="L93" s="19">
        <v>5.0</v>
      </c>
      <c r="M93" s="19">
        <v>33.0</v>
      </c>
      <c r="N93" s="19" t="s">
        <v>198</v>
      </c>
      <c r="O93" s="22" t="str">
        <f t="array" ref="O93:O94">IF(A93:A241="",, XLOOKUP(D93:D241, 'Recal IDs Log'!E77:E241, 'Recal IDs Log'!B77:B241, "", 0, -1))</f>
        <v>#REF!</v>
      </c>
      <c r="P93" s="22">
        <f t="shared" si="3"/>
        <v>64</v>
      </c>
      <c r="Q93" s="22" t="str">
        <f t="shared" si="1"/>
        <v>Fair</v>
      </c>
      <c r="R93" s="22" t="str">
        <f t="shared" si="2"/>
        <v>Breather-in-Training</v>
      </c>
    </row>
    <row r="94" ht="22.5" customHeight="1">
      <c r="A94" s="18">
        <v>46096.89356657407</v>
      </c>
      <c r="B94" s="19" t="s">
        <v>801</v>
      </c>
      <c r="D94" s="19" t="s">
        <v>802</v>
      </c>
      <c r="E94" s="19" t="s">
        <v>163</v>
      </c>
      <c r="F94" s="19">
        <v>31.0</v>
      </c>
      <c r="G94" s="19">
        <v>70.0</v>
      </c>
      <c r="H94" s="19">
        <v>52.0</v>
      </c>
      <c r="I94" s="19" t="s">
        <v>184</v>
      </c>
      <c r="K94" s="19" t="s">
        <v>1528</v>
      </c>
      <c r="L94" s="19">
        <v>12.0</v>
      </c>
      <c r="M94" s="19">
        <v>51.0</v>
      </c>
      <c r="N94" s="19" t="s">
        <v>157</v>
      </c>
      <c r="O94" s="22" t="str">
        <f t="array" ref="O94:O95">IF(A94:A241="",, XLOOKUP(D94:D241, 'Recal IDs Log'!E78:E241, 'Recal IDs Log'!B78:B241, "", 0, -1))</f>
        <v>#REF!</v>
      </c>
      <c r="P94" s="22">
        <f t="shared" si="3"/>
        <v>54</v>
      </c>
      <c r="Q94" s="22" t="str">
        <f t="shared" si="1"/>
        <v>Fair</v>
      </c>
      <c r="R94" s="22" t="str">
        <f t="shared" si="2"/>
        <v>Breather-in-Training</v>
      </c>
    </row>
    <row r="95" ht="22.5" customHeight="1">
      <c r="A95" s="18">
        <v>46097.80618289352</v>
      </c>
      <c r="B95" s="19" t="s">
        <v>805</v>
      </c>
      <c r="D95" s="19" t="s">
        <v>806</v>
      </c>
      <c r="E95" s="19" t="s">
        <v>163</v>
      </c>
      <c r="F95" s="19">
        <v>20.0</v>
      </c>
      <c r="G95" s="19">
        <v>51.0</v>
      </c>
      <c r="H95" s="19">
        <v>30.0</v>
      </c>
      <c r="I95" s="19" t="s">
        <v>184</v>
      </c>
      <c r="K95" s="19" t="s">
        <v>1541</v>
      </c>
      <c r="L95" s="19">
        <v>3.0</v>
      </c>
      <c r="M95" s="19">
        <v>47.0</v>
      </c>
      <c r="N95" s="19" t="s">
        <v>198</v>
      </c>
      <c r="O95" s="22" t="str">
        <f t="array" ref="O95:O96">IF(A95:A241="",, XLOOKUP(D95:D241, 'Recal IDs Log'!E79:E241, 'Recal IDs Log'!B79:B241, "", 0, -1))</f>
        <v>#REF!</v>
      </c>
      <c r="P95" s="22">
        <f t="shared" si="3"/>
        <v>36</v>
      </c>
      <c r="Q95" s="22" t="str">
        <f t="shared" si="1"/>
        <v>Poor</v>
      </c>
      <c r="R95" s="22" t="str">
        <f t="shared" si="2"/>
        <v>Breath Beginner</v>
      </c>
    </row>
    <row r="96" ht="22.5" customHeight="1">
      <c r="A96" s="18">
        <v>46099.68966969907</v>
      </c>
      <c r="B96" s="19" t="s">
        <v>42</v>
      </c>
      <c r="D96" s="19" t="s">
        <v>240</v>
      </c>
      <c r="E96" s="19" t="s">
        <v>163</v>
      </c>
      <c r="F96" s="19">
        <v>70.0</v>
      </c>
      <c r="G96" s="19">
        <v>85.0</v>
      </c>
      <c r="H96" s="19">
        <v>90.0</v>
      </c>
      <c r="I96" s="19" t="s">
        <v>353</v>
      </c>
      <c r="K96" s="19" t="s">
        <v>1553</v>
      </c>
      <c r="L96" s="19">
        <v>19.0</v>
      </c>
      <c r="M96" s="19">
        <v>48.0</v>
      </c>
      <c r="N96" s="19" t="s">
        <v>198</v>
      </c>
      <c r="O96" s="22" t="str">
        <f t="array" ref="O96:O97">IF(A96:A241="",, XLOOKUP(D96:D241, 'Recal IDs Log'!E80:E241, 'Recal IDs Log'!B80:B241, "", 0, -1))</f>
        <v>#REF!</v>
      </c>
      <c r="P96" s="22">
        <f t="shared" si="3"/>
        <v>84</v>
      </c>
      <c r="Q96" s="22" t="str">
        <f t="shared" si="1"/>
        <v>Great</v>
      </c>
      <c r="R96" s="22" t="str">
        <f t="shared" si="2"/>
        <v>Breathwork-Trained</v>
      </c>
    </row>
    <row r="97" ht="22.5" customHeight="1">
      <c r="A97" s="18">
        <v>46099.863575509255</v>
      </c>
      <c r="B97" s="19" t="s">
        <v>53</v>
      </c>
      <c r="D97" s="19" t="s">
        <v>809</v>
      </c>
      <c r="E97" s="19" t="s">
        <v>594</v>
      </c>
      <c r="F97" s="19">
        <v>28.0</v>
      </c>
      <c r="G97" s="19">
        <v>47.0</v>
      </c>
      <c r="H97" s="19">
        <v>70.0</v>
      </c>
      <c r="I97" s="19" t="s">
        <v>184</v>
      </c>
      <c r="K97" s="19" t="s">
        <v>1562</v>
      </c>
      <c r="L97" s="19">
        <v>13.0</v>
      </c>
      <c r="M97" s="19">
        <v>66.0</v>
      </c>
      <c r="N97" s="19" t="s">
        <v>198</v>
      </c>
      <c r="O97" s="22" t="str">
        <f t="array" ref="O97:O98">IF(A97:A241="",, XLOOKUP(D97:D241, 'Recal IDs Log'!E81:E241, 'Recal IDs Log'!B81:B241, "", 0, -1))</f>
        <v>#REF!</v>
      </c>
      <c r="P97" s="22">
        <f t="shared" si="3"/>
        <v>56</v>
      </c>
      <c r="Q97" s="22" t="str">
        <f t="shared" si="1"/>
        <v>Fair</v>
      </c>
      <c r="R97" s="22" t="str">
        <f t="shared" si="2"/>
        <v>Breather-in-Training</v>
      </c>
    </row>
    <row r="98" ht="22.5" customHeight="1">
      <c r="A98" s="18">
        <v>46100.46442834491</v>
      </c>
      <c r="B98" s="19" t="s">
        <v>811</v>
      </c>
      <c r="D98" s="19" t="s">
        <v>812</v>
      </c>
      <c r="E98" s="19" t="s">
        <v>163</v>
      </c>
      <c r="F98" s="19">
        <v>22.0</v>
      </c>
      <c r="G98" s="19">
        <v>52.0</v>
      </c>
      <c r="H98" s="19">
        <v>52.0</v>
      </c>
      <c r="I98" s="19" t="s">
        <v>184</v>
      </c>
      <c r="K98" s="19" t="s">
        <v>1570</v>
      </c>
      <c r="L98" s="19">
        <v>15.0</v>
      </c>
      <c r="M98" s="19">
        <v>33.0</v>
      </c>
      <c r="N98" s="19" t="s">
        <v>198</v>
      </c>
      <c r="O98" s="22" t="str">
        <f t="array" ref="O98:O99">IF(A98:A241="",, XLOOKUP(D98:D241, 'Recal IDs Log'!E82:E241, 'Recal IDs Log'!B82:B241, "", 0, -1))</f>
        <v>#REF!</v>
      </c>
      <c r="P98" s="22">
        <f t="shared" si="3"/>
        <v>42</v>
      </c>
      <c r="Q98" s="22" t="str">
        <f t="shared" si="1"/>
        <v>Poor</v>
      </c>
      <c r="R98" s="22" t="str">
        <f t="shared" si="2"/>
        <v>Breath Beginner</v>
      </c>
    </row>
    <row r="99" ht="22.5" customHeight="1">
      <c r="A99" s="18">
        <v>46102.655424502314</v>
      </c>
      <c r="B99" s="19" t="s">
        <v>8</v>
      </c>
      <c r="D99" s="19" t="s">
        <v>216</v>
      </c>
      <c r="E99" s="19" t="s">
        <v>343</v>
      </c>
      <c r="F99" s="19">
        <v>24.0</v>
      </c>
      <c r="G99" s="19">
        <v>35.0</v>
      </c>
      <c r="H99" s="19">
        <v>30.0</v>
      </c>
      <c r="I99" s="19" t="s">
        <v>263</v>
      </c>
      <c r="K99" s="19" t="s">
        <v>1578</v>
      </c>
      <c r="L99" s="19">
        <v>5.0</v>
      </c>
      <c r="M99" s="19">
        <v>44.0</v>
      </c>
      <c r="N99" s="19" t="s">
        <v>198</v>
      </c>
      <c r="O99" s="22" t="str">
        <f t="array" ref="O99:O100">IF(A99:A241="",, XLOOKUP(D99:D241, 'Recal IDs Log'!E83:E241, 'Recal IDs Log'!B83:B241, "", 0, -1))</f>
        <v>#REF!</v>
      </c>
      <c r="P99" s="22">
        <f t="shared" si="3"/>
        <v>20</v>
      </c>
      <c r="Q99" s="22" t="str">
        <f t="shared" si="1"/>
        <v>Very Poor</v>
      </c>
      <c r="R99" s="22" t="str">
        <f t="shared" si="2"/>
        <v>Breath-Aware</v>
      </c>
    </row>
    <row r="100" ht="22.5" customHeight="1">
      <c r="A100" s="18">
        <v>46107.959495937495</v>
      </c>
      <c r="B100" s="19" t="s">
        <v>815</v>
      </c>
      <c r="D100" s="19" t="s">
        <v>816</v>
      </c>
      <c r="E100" s="19" t="s">
        <v>163</v>
      </c>
      <c r="F100" s="19">
        <v>16.0</v>
      </c>
      <c r="G100" s="19">
        <v>38.0</v>
      </c>
      <c r="H100" s="19">
        <v>31.0</v>
      </c>
      <c r="I100" s="19" t="s">
        <v>184</v>
      </c>
      <c r="K100" s="19" t="s">
        <v>1579</v>
      </c>
      <c r="L100" s="19">
        <v>9.0</v>
      </c>
      <c r="M100" s="19">
        <v>52.0</v>
      </c>
      <c r="N100" s="19" t="s">
        <v>157</v>
      </c>
      <c r="O100" s="22" t="str">
        <f t="array" ref="O100:O101">IF(A100:A241="",, XLOOKUP(D100:D241, 'Recal IDs Log'!E84:E241, 'Recal IDs Log'!B84:B241, "", 0, -1))</f>
        <v>#REF!</v>
      </c>
      <c r="P100" s="22">
        <f t="shared" si="3"/>
        <v>30</v>
      </c>
      <c r="Q100" s="22" t="str">
        <f t="shared" si="1"/>
        <v>Very Poor</v>
      </c>
      <c r="R100" s="22" t="str">
        <f t="shared" si="2"/>
        <v>Breath-Aware</v>
      </c>
    </row>
    <row r="101" ht="22.5" customHeight="1">
      <c r="A101" s="18">
        <v>46109.68389251157</v>
      </c>
      <c r="B101" s="19" t="s">
        <v>818</v>
      </c>
      <c r="D101" s="19" t="s">
        <v>819</v>
      </c>
      <c r="E101" s="19" t="s">
        <v>163</v>
      </c>
      <c r="F101" s="19">
        <v>30.0</v>
      </c>
      <c r="G101" s="19">
        <v>37.0</v>
      </c>
      <c r="H101" s="19">
        <v>30.0</v>
      </c>
      <c r="I101" s="19" t="s">
        <v>263</v>
      </c>
      <c r="K101" s="19" t="s">
        <v>1580</v>
      </c>
      <c r="L101" s="19">
        <v>7.0</v>
      </c>
      <c r="M101" s="19">
        <v>60.0</v>
      </c>
      <c r="N101" s="19" t="s">
        <v>157</v>
      </c>
      <c r="O101" s="22" t="str">
        <f t="array" ref="O101:O102">IF(A101:A241="",, XLOOKUP(D101:D241, 'Recal IDs Log'!E85:E241, 'Recal IDs Log'!B85:B241, "", 0, -1))</f>
        <v>#REF!</v>
      </c>
      <c r="P101" s="22">
        <f t="shared" si="3"/>
        <v>24</v>
      </c>
      <c r="Q101" s="22" t="str">
        <f t="shared" si="1"/>
        <v>Very Poor</v>
      </c>
      <c r="R101" s="22" t="str">
        <f t="shared" si="2"/>
        <v>Breath-Aware</v>
      </c>
    </row>
    <row r="102" ht="22.5" customHeight="1">
      <c r="A102" s="18">
        <v>46110.22522921296</v>
      </c>
      <c r="B102" s="19" t="s">
        <v>821</v>
      </c>
      <c r="D102" s="19" t="s">
        <v>822</v>
      </c>
      <c r="E102" s="19" t="s">
        <v>594</v>
      </c>
      <c r="F102" s="19">
        <v>17.0</v>
      </c>
      <c r="G102" s="19">
        <v>27.0</v>
      </c>
      <c r="H102" s="19">
        <v>52.0</v>
      </c>
      <c r="I102" s="19" t="s">
        <v>184</v>
      </c>
      <c r="K102" s="19" t="s">
        <v>1581</v>
      </c>
      <c r="L102" s="19">
        <v>4.0</v>
      </c>
      <c r="M102" s="19">
        <v>64.0</v>
      </c>
      <c r="N102" s="19" t="s">
        <v>157</v>
      </c>
      <c r="O102" s="22" t="str">
        <f t="array" ref="O102:O103">IF(A102:A241="",, XLOOKUP(D102:D241, 'Recal IDs Log'!E86:E241, 'Recal IDs Log'!B86:B241, "", 0, -1))</f>
        <v>#REF!</v>
      </c>
      <c r="P102" s="22">
        <f t="shared" si="3"/>
        <v>36</v>
      </c>
      <c r="Q102" s="22" t="str">
        <f t="shared" si="1"/>
        <v>Poor</v>
      </c>
      <c r="R102" s="22" t="str">
        <f t="shared" si="2"/>
        <v>Breath Beginner</v>
      </c>
    </row>
    <row r="103" ht="22.5" customHeight="1">
      <c r="A103" s="18">
        <v>46110.23432956019</v>
      </c>
      <c r="B103" s="19" t="s">
        <v>821</v>
      </c>
      <c r="D103" s="19" t="s">
        <v>822</v>
      </c>
      <c r="E103" s="19" t="s">
        <v>594</v>
      </c>
      <c r="F103" s="19">
        <v>24.0</v>
      </c>
      <c r="G103" s="19">
        <v>40.0</v>
      </c>
      <c r="H103" s="19">
        <v>80.0</v>
      </c>
      <c r="I103" s="19" t="s">
        <v>263</v>
      </c>
      <c r="K103" s="19" t="s">
        <v>1584</v>
      </c>
      <c r="L103" s="19">
        <v>5.0</v>
      </c>
      <c r="M103" s="19">
        <v>64.0</v>
      </c>
      <c r="N103" s="19" t="s">
        <v>157</v>
      </c>
      <c r="O103" s="22" t="str">
        <f t="array" ref="O103:O104">IF(A103:A241="",, XLOOKUP(D103:D241, 'Recal IDs Log'!E87:E241, 'Recal IDs Log'!B87:B241, "", 0, -1))</f>
        <v>#REF!</v>
      </c>
      <c r="P103" s="22">
        <f t="shared" si="3"/>
        <v>42</v>
      </c>
      <c r="Q103" s="22" t="str">
        <f t="shared" si="1"/>
        <v>Poor</v>
      </c>
      <c r="R103" s="22" t="str">
        <f t="shared" si="2"/>
        <v>Breath Beginner</v>
      </c>
    </row>
    <row r="104" ht="22.5" customHeight="1">
      <c r="A104" s="18">
        <v>46110.24027516204</v>
      </c>
      <c r="B104" s="19" t="s">
        <v>821</v>
      </c>
      <c r="D104" s="19" t="s">
        <v>822</v>
      </c>
      <c r="E104" s="19" t="s">
        <v>594</v>
      </c>
      <c r="F104" s="19">
        <v>122.0</v>
      </c>
      <c r="G104" s="19">
        <v>52.0</v>
      </c>
      <c r="H104" s="19">
        <v>84.0</v>
      </c>
      <c r="I104" s="19" t="s">
        <v>184</v>
      </c>
      <c r="K104" s="19" t="s">
        <v>1587</v>
      </c>
      <c r="L104" s="19">
        <v>6.0</v>
      </c>
      <c r="M104" s="19">
        <v>64.0</v>
      </c>
      <c r="N104" s="19" t="s">
        <v>157</v>
      </c>
      <c r="O104" s="22" t="str">
        <f t="array" ref="O104:O105">IF(A104:A241="",, XLOOKUP(D104:D241, 'Recal IDs Log'!E88:E241, 'Recal IDs Log'!B88:B241, "", 0, -1))</f>
        <v>#REF!</v>
      </c>
      <c r="P104" s="22">
        <f t="shared" si="3"/>
        <v>60</v>
      </c>
      <c r="Q104" s="22" t="str">
        <f t="shared" si="1"/>
        <v>Fair</v>
      </c>
      <c r="R104" s="22" t="str">
        <f t="shared" si="2"/>
        <v>Breather-in-Training</v>
      </c>
    </row>
    <row r="105" ht="22.5" customHeight="1">
      <c r="A105" s="18">
        <v>46121.50764710648</v>
      </c>
      <c r="B105" s="19" t="s">
        <v>826</v>
      </c>
      <c r="D105" s="19" t="s">
        <v>827</v>
      </c>
      <c r="E105" s="19" t="s">
        <v>163</v>
      </c>
      <c r="F105" s="19">
        <v>12.0</v>
      </c>
      <c r="G105" s="19">
        <v>18.0</v>
      </c>
      <c r="H105" s="19">
        <v>11.0</v>
      </c>
      <c r="I105" s="19" t="s">
        <v>263</v>
      </c>
      <c r="K105" s="19" t="s">
        <v>1593</v>
      </c>
      <c r="L105" s="19">
        <v>3.0</v>
      </c>
      <c r="M105" s="19">
        <v>52.0</v>
      </c>
      <c r="N105" s="19" t="s">
        <v>198</v>
      </c>
      <c r="O105" s="22" t="str">
        <f t="array" ref="O105:O106">IF(A105:A241="",, XLOOKUP(D105:D241, 'Recal IDs Log'!E89:E241, 'Recal IDs Log'!B89:B241, "", 0, -1))</f>
        <v>#REF!</v>
      </c>
      <c r="P105" s="22">
        <f t="shared" si="3"/>
        <v>6</v>
      </c>
      <c r="Q105" s="22" t="str">
        <f t="shared" si="1"/>
        <v>Very Poor</v>
      </c>
      <c r="R105" s="22" t="str">
        <f t="shared" si="2"/>
        <v>Breath-Aware</v>
      </c>
    </row>
    <row r="106" ht="22.5" customHeight="1">
      <c r="A106" s="18">
        <v>46126.14260986111</v>
      </c>
      <c r="B106" s="19" t="s">
        <v>829</v>
      </c>
      <c r="D106" s="19" t="s">
        <v>830</v>
      </c>
      <c r="E106" s="19" t="s">
        <v>163</v>
      </c>
      <c r="F106" s="19">
        <v>10.0</v>
      </c>
      <c r="G106" s="19">
        <v>15.0</v>
      </c>
      <c r="H106" s="19">
        <v>16.0</v>
      </c>
      <c r="I106" s="19" t="s">
        <v>1594</v>
      </c>
      <c r="K106" s="19" t="s">
        <v>1595</v>
      </c>
      <c r="L106" s="19">
        <v>3.0</v>
      </c>
      <c r="M106" s="19">
        <v>52.0</v>
      </c>
      <c r="N106" s="19" t="s">
        <v>157</v>
      </c>
      <c r="O106" s="22" t="str">
        <f t="array" ref="O106:O107">IF(A106:A241="",, XLOOKUP(D106:D241, 'Recal IDs Log'!E90:E241, 'Recal IDs Log'!B90:B241, "", 0, -1))</f>
        <v>#REF!</v>
      </c>
      <c r="P106" s="22">
        <f t="shared" si="3"/>
        <v>0</v>
      </c>
      <c r="Q106" s="22" t="str">
        <f t="shared" si="1"/>
        <v>Very Poor</v>
      </c>
      <c r="R106" s="22" t="str">
        <f t="shared" si="2"/>
        <v>Breath-Aware</v>
      </c>
    </row>
    <row r="107" ht="22.5" customHeight="1">
      <c r="A107" s="18">
        <v>46126.71675041667</v>
      </c>
      <c r="B107" s="19" t="s">
        <v>832</v>
      </c>
      <c r="D107" s="19" t="s">
        <v>833</v>
      </c>
      <c r="E107" s="19" t="s">
        <v>163</v>
      </c>
      <c r="F107" s="19">
        <v>15.0</v>
      </c>
      <c r="G107" s="19">
        <v>44.0</v>
      </c>
      <c r="H107" s="19">
        <v>52.0</v>
      </c>
      <c r="I107" s="19" t="s">
        <v>184</v>
      </c>
      <c r="K107" s="19" t="s">
        <v>1599</v>
      </c>
      <c r="L107" s="19">
        <v>10.0</v>
      </c>
      <c r="M107" s="19">
        <v>65.0</v>
      </c>
      <c r="N107" s="19" t="s">
        <v>157</v>
      </c>
      <c r="O107" s="22" t="str">
        <f t="array" ref="O107:O108">IF(A107:A241="",, XLOOKUP(D107:D241, 'Recal IDs Log'!E91:E241, 'Recal IDs Log'!B91:B241, "", 0, -1))</f>
        <v>#REF!</v>
      </c>
      <c r="P107" s="22">
        <f t="shared" si="3"/>
        <v>40</v>
      </c>
      <c r="Q107" s="22" t="str">
        <f t="shared" si="1"/>
        <v>Poor</v>
      </c>
      <c r="R107" s="22" t="str">
        <f t="shared" si="2"/>
        <v>Breath Beginner</v>
      </c>
    </row>
    <row r="108" ht="22.5" customHeight="1">
      <c r="A108" s="18">
        <v>46128.091378171295</v>
      </c>
      <c r="B108" s="19" t="s">
        <v>835</v>
      </c>
      <c r="D108" s="19" t="s">
        <v>837</v>
      </c>
      <c r="E108" s="19" t="s">
        <v>1137</v>
      </c>
      <c r="F108" s="19">
        <v>36.0</v>
      </c>
      <c r="G108" s="19">
        <v>67.0</v>
      </c>
      <c r="H108" s="19">
        <v>80.0</v>
      </c>
      <c r="I108" s="19" t="s">
        <v>370</v>
      </c>
      <c r="L108" s="19">
        <v>30.0</v>
      </c>
      <c r="M108" s="19">
        <v>34.0</v>
      </c>
      <c r="N108" s="19" t="s">
        <v>157</v>
      </c>
      <c r="O108" s="22" t="str">
        <f t="array" ref="O108:O109">IF(A108:A241="",, XLOOKUP(D108:D241, 'Recal IDs Log'!E92:E241, 'Recal IDs Log'!B92:B241, "", 0, -1))</f>
        <v>#REF!</v>
      </c>
      <c r="P108" s="22">
        <f t="shared" si="3"/>
        <v>76</v>
      </c>
      <c r="Q108" s="22" t="str">
        <f t="shared" si="1"/>
        <v>Good</v>
      </c>
      <c r="R108" s="22" t="str">
        <f t="shared" si="2"/>
        <v>Functional Breather</v>
      </c>
    </row>
    <row r="109" ht="22.5" customHeight="1">
      <c r="A109" s="18">
        <v>46128.40850421296</v>
      </c>
      <c r="B109" s="19" t="s">
        <v>839</v>
      </c>
      <c r="D109" s="19" t="s">
        <v>841</v>
      </c>
      <c r="E109" s="19" t="s">
        <v>594</v>
      </c>
      <c r="F109" s="19">
        <v>27.0</v>
      </c>
      <c r="G109" s="19">
        <v>17.0</v>
      </c>
      <c r="H109" s="19">
        <v>39.0</v>
      </c>
      <c r="I109" s="19" t="s">
        <v>1594</v>
      </c>
      <c r="K109" s="19" t="s">
        <v>1601</v>
      </c>
      <c r="L109" s="19">
        <v>1.0</v>
      </c>
      <c r="M109" s="19">
        <v>54.0</v>
      </c>
      <c r="N109" s="19" t="s">
        <v>198</v>
      </c>
      <c r="O109" s="22" t="str">
        <f t="array" ref="O109:O110">IF(A109:A241="",, XLOOKUP(D109:D241, 'Recal IDs Log'!E93:E241, 'Recal IDs Log'!B93:B241, "", 0, -1))</f>
        <v>#REF!</v>
      </c>
      <c r="P109" s="22">
        <f t="shared" si="3"/>
        <v>12</v>
      </c>
      <c r="Q109" s="22" t="str">
        <f t="shared" si="1"/>
        <v>Very Poor</v>
      </c>
      <c r="R109" s="22" t="str">
        <f t="shared" si="2"/>
        <v>Breath-Aware</v>
      </c>
    </row>
    <row r="110" ht="22.5" customHeight="1">
      <c r="A110" s="18">
        <v>46137.76078253472</v>
      </c>
      <c r="B110" s="19" t="s">
        <v>847</v>
      </c>
      <c r="D110" s="19" t="s">
        <v>848</v>
      </c>
      <c r="E110" s="19" t="s">
        <v>163</v>
      </c>
      <c r="F110" s="19">
        <v>22.0</v>
      </c>
      <c r="G110" s="19">
        <v>46.0</v>
      </c>
      <c r="H110" s="19">
        <v>56.0</v>
      </c>
      <c r="I110" s="19" t="s">
        <v>160</v>
      </c>
      <c r="K110" s="19" t="s">
        <v>1608</v>
      </c>
      <c r="L110" s="19">
        <v>18.0</v>
      </c>
      <c r="M110" s="19">
        <v>23.0</v>
      </c>
      <c r="N110" s="19" t="s">
        <v>157</v>
      </c>
      <c r="O110" s="22" t="str">
        <f t="array" ref="O110:O111">IF(A110:A241="",, XLOOKUP(D110:D241, 'Recal IDs Log'!E94:E241, 'Recal IDs Log'!B94:B241, "", 0, -1))</f>
        <v>#REF!</v>
      </c>
      <c r="P110" s="22">
        <f t="shared" si="3"/>
        <v>42</v>
      </c>
      <c r="Q110" s="22" t="str">
        <f t="shared" si="1"/>
        <v>Poor</v>
      </c>
      <c r="R110" s="22" t="str">
        <f t="shared" si="2"/>
        <v>Breath Beginner</v>
      </c>
    </row>
    <row r="111" ht="22.5" customHeight="1">
      <c r="A111" s="18">
        <v>46137.76106076389</v>
      </c>
      <c r="B111" s="19" t="s">
        <v>850</v>
      </c>
      <c r="D111" s="19" t="s">
        <v>851</v>
      </c>
      <c r="E111" s="19" t="s">
        <v>163</v>
      </c>
      <c r="F111" s="19">
        <v>22.0</v>
      </c>
      <c r="G111" s="19">
        <v>50.0</v>
      </c>
      <c r="H111" s="19">
        <v>55.0</v>
      </c>
      <c r="I111" s="19" t="s">
        <v>160</v>
      </c>
      <c r="K111" s="19" t="s">
        <v>1608</v>
      </c>
      <c r="L111" s="19">
        <v>18.0</v>
      </c>
      <c r="M111" s="19">
        <v>58.0</v>
      </c>
      <c r="N111" s="19" t="s">
        <v>198</v>
      </c>
      <c r="O111" s="22" t="str">
        <f t="array" ref="O111:O112">IF(A111:A241="",, XLOOKUP(D111:D241, 'Recal IDs Log'!E95:E241, 'Recal IDs Log'!B95:B241, "", 0, -1))</f>
        <v>#REF!</v>
      </c>
      <c r="P111" s="22">
        <f t="shared" si="3"/>
        <v>42</v>
      </c>
      <c r="Q111" s="22" t="str">
        <f t="shared" si="1"/>
        <v>Poor</v>
      </c>
      <c r="R111" s="22" t="str">
        <f t="shared" si="2"/>
        <v>Breath Beginner</v>
      </c>
    </row>
    <row r="112" ht="22.5" customHeight="1">
      <c r="A112" s="18">
        <v>46141.567949502314</v>
      </c>
      <c r="B112" s="19" t="s">
        <v>396</v>
      </c>
      <c r="D112" s="19" t="s">
        <v>853</v>
      </c>
      <c r="E112" s="19" t="s">
        <v>163</v>
      </c>
      <c r="F112" s="19">
        <v>35.0</v>
      </c>
      <c r="G112" s="19">
        <v>1.03</v>
      </c>
      <c r="H112" s="19">
        <v>62.0</v>
      </c>
      <c r="I112" s="19" t="s">
        <v>160</v>
      </c>
      <c r="K112" s="19" t="s">
        <v>1613</v>
      </c>
      <c r="L112" s="19">
        <v>13.0</v>
      </c>
      <c r="M112" s="19">
        <v>31.0</v>
      </c>
      <c r="N112" s="19" t="s">
        <v>198</v>
      </c>
      <c r="O112" s="22" t="str">
        <f t="array" ref="O112:O113">IF(A112:A241="",, XLOOKUP(D112:D241, 'Recal IDs Log'!E96:E241, 'Recal IDs Log'!B96:B241, "", 0, -1))</f>
        <v>#REF!</v>
      </c>
      <c r="P112" s="22">
        <f t="shared" si="3"/>
        <v>40</v>
      </c>
      <c r="Q112" s="22" t="str">
        <f t="shared" si="1"/>
        <v>Poor</v>
      </c>
      <c r="R112" s="22" t="str">
        <f t="shared" si="2"/>
        <v>Breath Beginner</v>
      </c>
    </row>
    <row r="113" ht="22.5" customHeight="1">
      <c r="A113" s="18">
        <v>46142.35345401621</v>
      </c>
      <c r="B113" s="19" t="s">
        <v>396</v>
      </c>
      <c r="D113" s="19" t="s">
        <v>853</v>
      </c>
      <c r="E113" s="19" t="s">
        <v>163</v>
      </c>
      <c r="F113" s="19">
        <v>40.0</v>
      </c>
      <c r="G113" s="19">
        <v>77.0</v>
      </c>
      <c r="H113" s="19">
        <v>100.0</v>
      </c>
      <c r="I113" s="19" t="s">
        <v>160</v>
      </c>
      <c r="K113" s="19" t="s">
        <v>1614</v>
      </c>
      <c r="L113" s="19">
        <v>14.0</v>
      </c>
      <c r="M113" s="19">
        <v>31.0</v>
      </c>
      <c r="N113" s="19" t="s">
        <v>198</v>
      </c>
      <c r="O113" s="22" t="str">
        <f t="array" ref="O113:O114">IF(A113:A241="",, XLOOKUP(D113:D241, 'Recal IDs Log'!E97:E241, 'Recal IDs Log'!B97:B241, "", 0, -1))</f>
        <v>#REF!</v>
      </c>
      <c r="P113" s="22">
        <f t="shared" si="3"/>
        <v>68</v>
      </c>
      <c r="Q113" s="22" t="str">
        <f t="shared" si="1"/>
        <v>Good</v>
      </c>
      <c r="R113" s="22" t="str">
        <f t="shared" si="2"/>
        <v>Functional Breather</v>
      </c>
    </row>
    <row r="114" ht="22.5" customHeight="1">
      <c r="A114" s="18">
        <v>46143.382352141205</v>
      </c>
      <c r="B114" s="19" t="s">
        <v>856</v>
      </c>
      <c r="D114" s="19" t="s">
        <v>857</v>
      </c>
      <c r="E114" s="19" t="s">
        <v>163</v>
      </c>
      <c r="F114" s="19">
        <v>20.0</v>
      </c>
      <c r="G114" s="19">
        <v>45.0</v>
      </c>
      <c r="H114" s="19">
        <v>25.0</v>
      </c>
      <c r="I114" s="19" t="s">
        <v>353</v>
      </c>
      <c r="K114" s="19" t="s">
        <v>1615</v>
      </c>
      <c r="L114" s="19">
        <v>9.0</v>
      </c>
      <c r="M114" s="19">
        <v>30.0</v>
      </c>
      <c r="N114" s="19" t="s">
        <v>157</v>
      </c>
      <c r="O114" s="22" t="str">
        <f t="array" ref="O114:O115">IF(A114:A241="",, XLOOKUP(D114:D241, 'Recal IDs Log'!E98:E241, 'Recal IDs Log'!B98:B241, "", 0, -1))</f>
        <v>#REF!</v>
      </c>
      <c r="P114" s="22">
        <f t="shared" si="3"/>
        <v>42</v>
      </c>
      <c r="Q114" s="22" t="str">
        <f t="shared" si="1"/>
        <v>Poor</v>
      </c>
      <c r="R114" s="22" t="str">
        <f t="shared" si="2"/>
        <v>Breath Beginner</v>
      </c>
    </row>
    <row r="115" ht="22.5" customHeight="1">
      <c r="A115" s="18">
        <v>46144.75479688657</v>
      </c>
      <c r="B115" s="19" t="s">
        <v>48</v>
      </c>
      <c r="D115" s="19" t="s">
        <v>259</v>
      </c>
      <c r="E115" s="19" t="s">
        <v>163</v>
      </c>
      <c r="F115" s="19">
        <v>33.0</v>
      </c>
      <c r="G115" s="19">
        <v>55.0</v>
      </c>
      <c r="H115" s="19">
        <v>43.0</v>
      </c>
      <c r="I115" s="19" t="s">
        <v>1594</v>
      </c>
      <c r="K115" s="19" t="s">
        <v>266</v>
      </c>
      <c r="L115" s="19">
        <v>12.0</v>
      </c>
      <c r="M115" s="19">
        <v>63.0</v>
      </c>
      <c r="N115" s="19" t="s">
        <v>198</v>
      </c>
      <c r="O115" s="22" t="str">
        <f t="array" ref="O115:O116">IF(A115:A241="",, XLOOKUP(D115:D241, 'Recal IDs Log'!E99:E241, 'Recal IDs Log'!B99:B241, "", 0, -1))</f>
        <v>#REF!</v>
      </c>
      <c r="P115" s="22">
        <f t="shared" si="3"/>
        <v>32</v>
      </c>
      <c r="Q115" s="22" t="str">
        <f t="shared" si="1"/>
        <v>Poor</v>
      </c>
      <c r="R115" s="22" t="str">
        <f t="shared" si="2"/>
        <v>Breath Beginner</v>
      </c>
    </row>
    <row r="116" ht="22.5" customHeight="1">
      <c r="A116" s="18">
        <v>46146.828085057874</v>
      </c>
      <c r="B116" s="19" t="s">
        <v>860</v>
      </c>
      <c r="D116" s="19" t="s">
        <v>861</v>
      </c>
      <c r="E116" s="19" t="s">
        <v>163</v>
      </c>
      <c r="F116" s="19">
        <v>32.0</v>
      </c>
      <c r="G116" s="19">
        <v>33.0</v>
      </c>
      <c r="H116" s="19">
        <v>48.0</v>
      </c>
      <c r="I116" s="19" t="s">
        <v>160</v>
      </c>
      <c r="K116" s="19" t="s">
        <v>1616</v>
      </c>
      <c r="L116" s="19">
        <v>12.0</v>
      </c>
      <c r="M116" s="19">
        <v>21.0</v>
      </c>
      <c r="N116" s="19" t="s">
        <v>157</v>
      </c>
      <c r="O116" s="22" t="str">
        <f t="array" ref="O116:O117">IF(A116:A241="",, XLOOKUP(D116:D241, 'Recal IDs Log'!E100:E241, 'Recal IDs Log'!B100:B241, "", 0, -1))</f>
        <v>#REF!</v>
      </c>
      <c r="P116" s="22">
        <f t="shared" si="3"/>
        <v>36</v>
      </c>
      <c r="Q116" s="22" t="str">
        <f t="shared" si="1"/>
        <v>Poor</v>
      </c>
      <c r="R116" s="22" t="str">
        <f t="shared" si="2"/>
        <v>Breath Beginner</v>
      </c>
    </row>
    <row r="117" ht="22.5" customHeight="1">
      <c r="A117" s="18">
        <v>46147.0920438426</v>
      </c>
      <c r="B117" s="19" t="s">
        <v>863</v>
      </c>
      <c r="D117" s="19" t="s">
        <v>864</v>
      </c>
      <c r="E117" s="19" t="s">
        <v>594</v>
      </c>
      <c r="F117" s="19">
        <v>13.0</v>
      </c>
      <c r="G117" s="19">
        <v>35.0</v>
      </c>
      <c r="H117" s="19">
        <v>29.0</v>
      </c>
      <c r="I117" s="19" t="s">
        <v>184</v>
      </c>
      <c r="L117" s="19">
        <v>8.0</v>
      </c>
      <c r="M117" s="19">
        <v>56.0</v>
      </c>
      <c r="N117" s="19" t="s">
        <v>157</v>
      </c>
      <c r="O117" s="22" t="str">
        <f t="array" ref="O117:O118">IF(A117:A241="",, XLOOKUP(D117:D241, 'Recal IDs Log'!E101:E241, 'Recal IDs Log'!B101:B241, "", 0, -1))</f>
        <v>#REF!</v>
      </c>
      <c r="P117" s="22">
        <f t="shared" si="3"/>
        <v>28</v>
      </c>
      <c r="Q117" s="22" t="str">
        <f t="shared" si="1"/>
        <v>Very Poor</v>
      </c>
      <c r="R117" s="22" t="str">
        <f t="shared" si="2"/>
        <v>Breath-Aware</v>
      </c>
    </row>
    <row r="118" ht="22.5" customHeight="1">
      <c r="A118" s="18">
        <v>46147.812521458334</v>
      </c>
      <c r="B118" s="19" t="s">
        <v>866</v>
      </c>
      <c r="D118" s="19" t="s">
        <v>867</v>
      </c>
      <c r="E118" s="19" t="s">
        <v>594</v>
      </c>
      <c r="F118" s="19">
        <v>8.0</v>
      </c>
      <c r="G118" s="19">
        <v>40.0</v>
      </c>
      <c r="H118" s="19">
        <v>23.0</v>
      </c>
      <c r="I118" s="19" t="s">
        <v>184</v>
      </c>
      <c r="K118" s="19" t="s">
        <v>1617</v>
      </c>
      <c r="L118" s="19">
        <v>2.0</v>
      </c>
      <c r="M118" s="19">
        <v>48.0</v>
      </c>
      <c r="N118" s="19" t="s">
        <v>157</v>
      </c>
      <c r="O118" s="22" t="str">
        <f t="array" ref="O118:O119">IF(A118:A241="",, XLOOKUP(D118:D241, 'Recal IDs Log'!E102:E241, 'Recal IDs Log'!B102:B241, "", 0, -1))</f>
        <v>#REF!</v>
      </c>
      <c r="P118" s="22">
        <f t="shared" si="3"/>
        <v>26</v>
      </c>
      <c r="Q118" s="22" t="str">
        <f t="shared" si="1"/>
        <v>Very Poor</v>
      </c>
      <c r="R118" s="22" t="str">
        <f t="shared" si="2"/>
        <v>Breath-Aware</v>
      </c>
    </row>
    <row r="119" ht="22.5" customHeight="1">
      <c r="A119" s="18">
        <v>46149.15488732639</v>
      </c>
      <c r="B119" s="19" t="s">
        <v>869</v>
      </c>
      <c r="D119" s="19" t="s">
        <v>870</v>
      </c>
      <c r="E119" s="19" t="s">
        <v>594</v>
      </c>
      <c r="F119" s="19">
        <v>32.0</v>
      </c>
      <c r="G119" s="19">
        <v>102.0</v>
      </c>
      <c r="H119" s="19">
        <v>70.0</v>
      </c>
      <c r="I119" s="19" t="s">
        <v>184</v>
      </c>
      <c r="L119" s="19">
        <v>10.0</v>
      </c>
      <c r="M119" s="19">
        <v>42.0</v>
      </c>
      <c r="N119" s="19" t="s">
        <v>198</v>
      </c>
      <c r="O119" s="22" t="str">
        <f t="array" ref="O119:O120">IF(A119:A241="",, XLOOKUP(D119:D241, 'Recal IDs Log'!E103:E241, 'Recal IDs Log'!B103:B241, "", 0, -1))</f>
        <v>#REF!</v>
      </c>
      <c r="P119" s="22">
        <f t="shared" si="3"/>
        <v>70</v>
      </c>
      <c r="Q119" s="22" t="str">
        <f t="shared" si="1"/>
        <v>Good</v>
      </c>
      <c r="R119" s="22" t="str">
        <f t="shared" si="2"/>
        <v>Functional Breather</v>
      </c>
    </row>
    <row r="120" ht="22.5" customHeight="1">
      <c r="A120" s="18">
        <v>46150.88387716435</v>
      </c>
      <c r="B120" s="19" t="s">
        <v>873</v>
      </c>
      <c r="D120" s="19" t="s">
        <v>874</v>
      </c>
      <c r="E120" s="19" t="s">
        <v>163</v>
      </c>
      <c r="F120" s="19">
        <v>35.0</v>
      </c>
      <c r="G120" s="19">
        <v>58.0</v>
      </c>
      <c r="H120" s="19">
        <v>45.0</v>
      </c>
      <c r="I120" s="19" t="s">
        <v>370</v>
      </c>
      <c r="L120" s="19">
        <v>12.0</v>
      </c>
      <c r="M120" s="19">
        <v>65.0</v>
      </c>
      <c r="N120" s="19" t="s">
        <v>198</v>
      </c>
      <c r="O120" s="22" t="str">
        <f t="array" ref="O120:O121">IF(A120:A241="",, XLOOKUP(D120:D241, 'Recal IDs Log'!E104:E241, 'Recal IDs Log'!B104:B241, "", 0, -1))</f>
        <v>#REF!</v>
      </c>
      <c r="P120" s="22">
        <f t="shared" si="3"/>
        <v>64</v>
      </c>
      <c r="Q120" s="22" t="str">
        <f t="shared" si="1"/>
        <v>Fair</v>
      </c>
      <c r="R120" s="22" t="str">
        <f t="shared" si="2"/>
        <v>Breather-in-Training</v>
      </c>
    </row>
    <row r="121" ht="22.5" customHeight="1">
      <c r="A121" s="18">
        <v>46153.94028416667</v>
      </c>
      <c r="B121" s="19" t="s">
        <v>1385</v>
      </c>
      <c r="D121" s="19" t="s">
        <v>877</v>
      </c>
      <c r="E121" s="19" t="s">
        <v>163</v>
      </c>
      <c r="F121" s="19">
        <v>13.0</v>
      </c>
      <c r="G121" s="19">
        <v>26.0</v>
      </c>
      <c r="H121" s="19">
        <v>18.0</v>
      </c>
      <c r="I121" s="19" t="s">
        <v>353</v>
      </c>
      <c r="L121" s="19">
        <v>3.0</v>
      </c>
      <c r="M121" s="19">
        <v>63.0</v>
      </c>
      <c r="N121" s="19" t="s">
        <v>198</v>
      </c>
      <c r="O121" s="22" t="str">
        <f t="array" ref="O121:O122">IF(A121:A241="",, XLOOKUP(D121:D241, 'Recal IDs Log'!E105:E241, 'Recal IDs Log'!B105:B241, "", 0, -1))</f>
        <v>#REF!</v>
      </c>
      <c r="P121" s="22">
        <f t="shared" si="3"/>
        <v>28</v>
      </c>
      <c r="Q121" s="22" t="str">
        <f t="shared" si="1"/>
        <v>Very Poor</v>
      </c>
      <c r="R121" s="22" t="str">
        <f t="shared" si="2"/>
        <v>Breath-Aware</v>
      </c>
    </row>
    <row r="122" ht="22.5" customHeight="1">
      <c r="A122" s="18">
        <v>46157.682512581014</v>
      </c>
      <c r="B122" s="19" t="s">
        <v>881</v>
      </c>
      <c r="D122" s="19" t="s">
        <v>718</v>
      </c>
      <c r="E122" s="19" t="s">
        <v>163</v>
      </c>
      <c r="F122" s="19">
        <v>26.0</v>
      </c>
      <c r="G122" s="19">
        <v>55.0</v>
      </c>
      <c r="H122" s="19">
        <v>77.0</v>
      </c>
      <c r="I122" s="19" t="s">
        <v>353</v>
      </c>
      <c r="K122" s="19" t="s">
        <v>1163</v>
      </c>
      <c r="L122" s="19">
        <v>15.0</v>
      </c>
      <c r="M122" s="19">
        <v>53.0</v>
      </c>
      <c r="N122" s="19" t="s">
        <v>157</v>
      </c>
      <c r="O122" s="22" t="str">
        <f t="array" ref="O122:O123">IF(A122:A241="",, XLOOKUP(D122:D241, 'Recal IDs Log'!E106:E241, 'Recal IDs Log'!B106:B241, "", 0, -1))</f>
        <v>#REF!</v>
      </c>
      <c r="P122" s="22">
        <f t="shared" si="3"/>
        <v>66</v>
      </c>
      <c r="Q122" s="22" t="str">
        <f t="shared" si="1"/>
        <v>Good</v>
      </c>
      <c r="R122" s="22" t="str">
        <f t="shared" si="2"/>
        <v>Functional Breather</v>
      </c>
    </row>
    <row r="123" ht="22.5" customHeight="1">
      <c r="A123" s="18">
        <v>46161.959494490744</v>
      </c>
      <c r="B123" s="19" t="s">
        <v>883</v>
      </c>
      <c r="D123" s="19" t="s">
        <v>884</v>
      </c>
      <c r="E123" s="19" t="s">
        <v>594</v>
      </c>
      <c r="F123" s="19">
        <v>68.0</v>
      </c>
      <c r="G123" s="19">
        <v>70.0</v>
      </c>
      <c r="H123" s="19">
        <v>55.0</v>
      </c>
      <c r="I123" s="19" t="s">
        <v>1594</v>
      </c>
      <c r="L123" s="19">
        <v>14.0</v>
      </c>
      <c r="M123" s="19">
        <v>48.0</v>
      </c>
      <c r="N123" s="19" t="s">
        <v>198</v>
      </c>
      <c r="O123" s="22" t="str">
        <f t="array" ref="O123:O124">IF(A123:A241="",, XLOOKUP(D123:D241, 'Recal IDs Log'!E107:E241, 'Recal IDs Log'!B107:B241, "", 0, -1))</f>
        <v>#REF!</v>
      </c>
      <c r="P123" s="22">
        <f t="shared" si="3"/>
        <v>44</v>
      </c>
      <c r="Q123" s="22" t="str">
        <f t="shared" si="1"/>
        <v>Poor</v>
      </c>
      <c r="R123" s="22" t="str">
        <f t="shared" si="2"/>
        <v>Breath Beginner</v>
      </c>
    </row>
    <row r="124" ht="22.5" customHeight="1">
      <c r="A124" s="18">
        <v>46163.05840072916</v>
      </c>
      <c r="B124" s="19" t="s">
        <v>484</v>
      </c>
      <c r="D124" s="19" t="s">
        <v>297</v>
      </c>
      <c r="E124" s="19" t="s">
        <v>163</v>
      </c>
      <c r="F124" s="19">
        <v>27.0</v>
      </c>
      <c r="G124" s="19">
        <v>72.0</v>
      </c>
      <c r="H124" s="19">
        <v>65.0</v>
      </c>
      <c r="I124" s="19" t="s">
        <v>370</v>
      </c>
      <c r="K124" s="19" t="s">
        <v>1618</v>
      </c>
      <c r="L124" s="19">
        <v>16.0</v>
      </c>
      <c r="M124" s="19">
        <v>66.0</v>
      </c>
      <c r="N124" s="19" t="s">
        <v>157</v>
      </c>
      <c r="O124" s="22" t="str">
        <f t="array" ref="O124:O125">IF(A124:A241="",, XLOOKUP(D124:D241, 'Recal IDs Log'!E108:E241, 'Recal IDs Log'!B108:B241, "", 0, -1))</f>
        <v>#REF!</v>
      </c>
      <c r="P124" s="22">
        <f t="shared" si="3"/>
        <v>70</v>
      </c>
      <c r="Q124" s="22" t="str">
        <f t="shared" si="1"/>
        <v>Good</v>
      </c>
      <c r="R124" s="22" t="str">
        <f t="shared" si="2"/>
        <v>Functional Breather</v>
      </c>
    </row>
    <row r="125" ht="22.5" customHeight="1">
      <c r="A125" s="18">
        <v>46165.63923378472</v>
      </c>
      <c r="B125" s="19" t="s">
        <v>888</v>
      </c>
      <c r="D125" s="19" t="s">
        <v>890</v>
      </c>
      <c r="E125" s="19" t="s">
        <v>163</v>
      </c>
      <c r="F125" s="19">
        <v>23.0</v>
      </c>
      <c r="G125" s="19">
        <v>29.0</v>
      </c>
      <c r="H125" s="19">
        <v>15.0</v>
      </c>
      <c r="I125" s="19" t="s">
        <v>184</v>
      </c>
      <c r="K125" s="19" t="s">
        <v>1619</v>
      </c>
      <c r="L125" s="19">
        <v>2.0</v>
      </c>
      <c r="M125" s="19">
        <v>60.0</v>
      </c>
      <c r="N125" s="19" t="s">
        <v>198</v>
      </c>
      <c r="O125" s="22" t="str">
        <f t="array" ref="O125:O126">IF(A125:A241="",, XLOOKUP(D125:D241, 'Recal IDs Log'!E109:E241, 'Recal IDs Log'!B109:B241, "", 0, -1))</f>
        <v>#REF!</v>
      </c>
      <c r="P125" s="22">
        <f t="shared" si="3"/>
        <v>26</v>
      </c>
      <c r="Q125" s="22" t="str">
        <f t="shared" si="1"/>
        <v>Very Poor</v>
      </c>
      <c r="R125" s="22" t="str">
        <f t="shared" si="2"/>
        <v>Breath-Aware</v>
      </c>
    </row>
    <row r="126" ht="22.5" customHeight="1">
      <c r="A126" s="18">
        <v>46167.309936238424</v>
      </c>
      <c r="B126" s="19" t="s">
        <v>888</v>
      </c>
      <c r="D126" s="19" t="s">
        <v>890</v>
      </c>
      <c r="E126" s="19" t="s">
        <v>163</v>
      </c>
      <c r="F126" s="19">
        <v>32.0</v>
      </c>
      <c r="G126" s="19">
        <v>38.0</v>
      </c>
      <c r="H126" s="19">
        <v>40.0</v>
      </c>
      <c r="I126" s="19" t="s">
        <v>184</v>
      </c>
      <c r="L126" s="19">
        <v>2.0</v>
      </c>
      <c r="M126" s="19">
        <v>60.0</v>
      </c>
      <c r="N126" s="19" t="s">
        <v>198</v>
      </c>
      <c r="O126" s="22" t="str">
        <f t="array" ref="O126:O127">IF(A126:A241="",, XLOOKUP(D126:D241, 'Recal IDs Log'!E110:E241, 'Recal IDs Log'!B110:B241, "", 0, -1))</f>
        <v>#REF!</v>
      </c>
      <c r="P126" s="22">
        <f t="shared" si="3"/>
        <v>42</v>
      </c>
      <c r="Q126" s="22" t="str">
        <f t="shared" si="1"/>
        <v>Poor</v>
      </c>
      <c r="R126" s="22" t="str">
        <f t="shared" si="2"/>
        <v>Breath Beginner</v>
      </c>
    </row>
    <row r="127" ht="22.5" customHeight="1">
      <c r="A127" s="18">
        <v>46169.51205810186</v>
      </c>
      <c r="B127" s="19" t="s">
        <v>894</v>
      </c>
      <c r="D127" s="19" t="s">
        <v>895</v>
      </c>
      <c r="E127" s="19" t="s">
        <v>163</v>
      </c>
      <c r="F127" s="19">
        <v>18.0</v>
      </c>
      <c r="G127" s="19">
        <v>43.0</v>
      </c>
      <c r="H127" s="19">
        <v>60.0</v>
      </c>
      <c r="I127" s="19" t="s">
        <v>184</v>
      </c>
      <c r="L127" s="19">
        <v>10.0</v>
      </c>
      <c r="M127" s="19">
        <v>25.0</v>
      </c>
      <c r="N127" s="19" t="s">
        <v>198</v>
      </c>
      <c r="O127" s="22" t="str">
        <f t="array" ref="O127:O128">IF(A127:A241="",, XLOOKUP(D127:D241, 'Recal IDs Log'!E111:E241, 'Recal IDs Log'!B111:B241, "", 0, -1))</f>
        <v>#REF!</v>
      </c>
      <c r="P127" s="22">
        <f t="shared" si="3"/>
        <v>46</v>
      </c>
      <c r="Q127" s="22" t="str">
        <f t="shared" si="1"/>
        <v>Poor</v>
      </c>
      <c r="R127" s="22" t="str">
        <f t="shared" si="2"/>
        <v>Breath Beginner</v>
      </c>
    </row>
    <row r="128" ht="22.5" customHeight="1">
      <c r="A128" s="18">
        <v>46170.21345991898</v>
      </c>
      <c r="B128" s="19" t="s">
        <v>897</v>
      </c>
      <c r="D128" s="19" t="s">
        <v>898</v>
      </c>
      <c r="E128" s="19" t="s">
        <v>163</v>
      </c>
      <c r="F128" s="19">
        <v>22.0</v>
      </c>
      <c r="G128" s="19">
        <v>36.0</v>
      </c>
      <c r="H128" s="19">
        <v>34.0</v>
      </c>
      <c r="I128" s="19" t="s">
        <v>184</v>
      </c>
      <c r="K128" s="19" t="s">
        <v>1620</v>
      </c>
      <c r="L128" s="19">
        <v>12.0</v>
      </c>
      <c r="M128" s="19">
        <v>63.0</v>
      </c>
      <c r="N128" s="19" t="s">
        <v>198</v>
      </c>
      <c r="O128" s="22" t="str">
        <f t="array" ref="O128:O129">IF(A128:A241="",, XLOOKUP(D128:D241, 'Recal IDs Log'!E112:E241, 'Recal IDs Log'!B112:B241, "", 0, -1))</f>
        <v>#REF!</v>
      </c>
      <c r="P128" s="22">
        <f t="shared" si="3"/>
        <v>32</v>
      </c>
      <c r="Q128" s="22" t="str">
        <f t="shared" si="1"/>
        <v>Poor</v>
      </c>
      <c r="R128" s="22" t="str">
        <f t="shared" si="2"/>
        <v>Breath Beginner</v>
      </c>
    </row>
    <row r="129" ht="22.5" customHeight="1">
      <c r="A129" s="18">
        <v>46170.648382245374</v>
      </c>
      <c r="B129" s="19" t="s">
        <v>888</v>
      </c>
      <c r="D129" s="19" t="s">
        <v>890</v>
      </c>
      <c r="E129" s="19" t="s">
        <v>163</v>
      </c>
      <c r="F129" s="19">
        <v>28.0</v>
      </c>
      <c r="G129" s="19">
        <v>49.0</v>
      </c>
      <c r="H129" s="19">
        <v>36.0</v>
      </c>
      <c r="I129" s="19" t="s">
        <v>184</v>
      </c>
      <c r="L129" s="19">
        <v>17.0</v>
      </c>
      <c r="M129" s="19">
        <v>60.0</v>
      </c>
      <c r="N129" s="19" t="s">
        <v>198</v>
      </c>
      <c r="O129" s="22" t="str">
        <f t="array" ref="O129:O130">IF(A129:A241="",, XLOOKUP(D129:D241, 'Recal IDs Log'!E113:E241, 'Recal IDs Log'!B113:B241, "", 0, -1))</f>
        <v>#REF!</v>
      </c>
      <c r="P129" s="22">
        <f t="shared" si="3"/>
        <v>38</v>
      </c>
      <c r="Q129" s="22" t="str">
        <f t="shared" si="1"/>
        <v>Poor</v>
      </c>
      <c r="R129" s="22" t="str">
        <f t="shared" si="2"/>
        <v>Breath Beginner</v>
      </c>
    </row>
    <row r="130" ht="22.5" customHeight="1">
      <c r="A130" s="18">
        <v>46182.70262591435</v>
      </c>
      <c r="B130" s="19" t="s">
        <v>904</v>
      </c>
      <c r="D130" s="19" t="s">
        <v>905</v>
      </c>
      <c r="E130" s="19" t="s">
        <v>163</v>
      </c>
      <c r="F130" s="19">
        <v>17.0</v>
      </c>
      <c r="G130" s="19">
        <v>30.0</v>
      </c>
      <c r="H130" s="19">
        <v>35.0</v>
      </c>
      <c r="I130" s="19" t="s">
        <v>184</v>
      </c>
      <c r="L130" s="19">
        <v>2.0</v>
      </c>
      <c r="M130" s="19">
        <v>27.0</v>
      </c>
      <c r="N130" s="19" t="s">
        <v>198</v>
      </c>
      <c r="O130" s="22" t="str">
        <f t="array" ref="O130:O131">IF(A130:A241="",, XLOOKUP(D130:D241, 'Recal IDs Log'!E114:E241, 'Recal IDs Log'!B114:B241, "", 0, -1))</f>
        <v>#REF!</v>
      </c>
      <c r="P130" s="22">
        <f t="shared" si="3"/>
        <v>30</v>
      </c>
      <c r="Q130" s="22" t="str">
        <f t="shared" si="1"/>
        <v>Very Poor</v>
      </c>
      <c r="R130" s="22" t="str">
        <f t="shared" si="2"/>
        <v>Breath-Aware</v>
      </c>
    </row>
    <row r="131" ht="22.5" customHeight="1">
      <c r="A131" s="18">
        <v>46183.47220362269</v>
      </c>
      <c r="B131" s="19" t="s">
        <v>82</v>
      </c>
      <c r="D131" s="19" t="s">
        <v>907</v>
      </c>
      <c r="E131" s="19" t="s">
        <v>163</v>
      </c>
      <c r="F131" s="19">
        <v>17.0</v>
      </c>
      <c r="G131" s="19">
        <v>28.0</v>
      </c>
      <c r="H131" s="19">
        <v>22.0</v>
      </c>
      <c r="I131" s="19" t="s">
        <v>184</v>
      </c>
      <c r="L131" s="19">
        <v>8.0</v>
      </c>
      <c r="M131" s="19">
        <v>42.0</v>
      </c>
      <c r="N131" s="19" t="s">
        <v>198</v>
      </c>
      <c r="O131" s="22" t="str">
        <f t="array" ref="O131:O132">IF(A131:A241="",, XLOOKUP(D131:D241, 'Recal IDs Log'!E115:E241, 'Recal IDs Log'!B115:B241, "", 0, -1))</f>
        <v>#REF!</v>
      </c>
      <c r="P131" s="22">
        <f t="shared" si="3"/>
        <v>24</v>
      </c>
      <c r="Q131" s="22" t="str">
        <f t="shared" si="1"/>
        <v>Very Poor</v>
      </c>
      <c r="R131" s="22" t="str">
        <f t="shared" si="2"/>
        <v>Breath-Aware</v>
      </c>
    </row>
    <row r="132" ht="22.5" customHeight="1">
      <c r="A132" s="18">
        <v>46188.42920991898</v>
      </c>
      <c r="B132" s="19" t="s">
        <v>888</v>
      </c>
      <c r="D132" s="19" t="s">
        <v>890</v>
      </c>
      <c r="E132" s="19" t="s">
        <v>594</v>
      </c>
      <c r="F132" s="19">
        <v>40.0</v>
      </c>
      <c r="G132" s="19">
        <v>73.0</v>
      </c>
      <c r="H132" s="19">
        <v>53.0</v>
      </c>
      <c r="I132" s="19" t="s">
        <v>370</v>
      </c>
      <c r="L132" s="19">
        <v>15.0</v>
      </c>
      <c r="M132" s="19">
        <v>60.0</v>
      </c>
      <c r="N132" s="19" t="s">
        <v>198</v>
      </c>
      <c r="O132" s="22" t="str">
        <f t="array" ref="O132:O133">IF(A132:A241="",, XLOOKUP(D132:D241, 'Recal IDs Log'!E116:E241, 'Recal IDs Log'!B116:B241, "", 0, -1))</f>
        <v>#REF!</v>
      </c>
      <c r="P132" s="22">
        <f t="shared" si="3"/>
        <v>68</v>
      </c>
      <c r="Q132" s="22" t="str">
        <f t="shared" si="1"/>
        <v>Good</v>
      </c>
      <c r="R132" s="22" t="str">
        <f t="shared" si="2"/>
        <v>Functional Breather</v>
      </c>
    </row>
    <row r="133" ht="22.5" customHeight="1">
      <c r="A133" s="18">
        <v>46190.0373916088</v>
      </c>
      <c r="B133" s="19" t="s">
        <v>801</v>
      </c>
      <c r="D133" s="19" t="s">
        <v>802</v>
      </c>
      <c r="E133" s="19" t="s">
        <v>163</v>
      </c>
      <c r="F133" s="19">
        <v>46.0</v>
      </c>
      <c r="G133" s="19">
        <v>78.0</v>
      </c>
      <c r="H133" s="19">
        <v>85.0</v>
      </c>
      <c r="I133" s="19" t="s">
        <v>184</v>
      </c>
      <c r="L133" s="19">
        <v>15.0</v>
      </c>
      <c r="M133" s="19">
        <v>51.0</v>
      </c>
      <c r="N133" s="19" t="s">
        <v>157</v>
      </c>
      <c r="O133" s="22" t="str">
        <f t="array" ref="O133:O134">IF(A133:A241="",, XLOOKUP(D133:D241, 'Recal IDs Log'!E117:E241, 'Recal IDs Log'!B117:B241, "", 0, -1))</f>
        <v>#REF!</v>
      </c>
      <c r="P133" s="22">
        <f t="shared" si="3"/>
        <v>74</v>
      </c>
      <c r="Q133" s="22" t="str">
        <f t="shared" si="1"/>
        <v>Good</v>
      </c>
      <c r="R133" s="22" t="str">
        <f t="shared" si="2"/>
        <v>Functional Breather</v>
      </c>
    </row>
    <row r="134" ht="22.5" customHeight="1">
      <c r="A134" s="18">
        <v>46193.52505498842</v>
      </c>
      <c r="B134" s="19" t="s">
        <v>912</v>
      </c>
      <c r="D134" s="19" t="s">
        <v>913</v>
      </c>
      <c r="E134" s="19" t="s">
        <v>594</v>
      </c>
      <c r="F134" s="19">
        <v>18.0</v>
      </c>
      <c r="G134" s="19">
        <v>28.0</v>
      </c>
      <c r="H134" s="19">
        <v>20.0</v>
      </c>
      <c r="I134" s="19" t="s">
        <v>184</v>
      </c>
      <c r="L134" s="19">
        <v>3.0</v>
      </c>
      <c r="M134" s="19">
        <v>46.0</v>
      </c>
      <c r="N134" s="19" t="s">
        <v>157</v>
      </c>
      <c r="O134" s="22" t="str">
        <f t="array" ref="O134:O135">IF(A134:A241="",, XLOOKUP(D134:D241, 'Recal IDs Log'!E118:E241, 'Recal IDs Log'!B118:B241, "", 0, -1))</f>
        <v>#REF!</v>
      </c>
      <c r="P134" s="22">
        <f t="shared" si="3"/>
        <v>24</v>
      </c>
      <c r="Q134" s="22" t="str">
        <f t="shared" si="1"/>
        <v>Very Poor</v>
      </c>
      <c r="R134" s="22" t="str">
        <f t="shared" si="2"/>
        <v>Breath-Aware</v>
      </c>
    </row>
    <row r="135" ht="22.5" customHeight="1">
      <c r="A135" s="18">
        <v>46195.16495658565</v>
      </c>
      <c r="B135" s="19" t="s">
        <v>916</v>
      </c>
      <c r="D135" s="19" t="s">
        <v>917</v>
      </c>
      <c r="E135" s="19" t="s">
        <v>594</v>
      </c>
      <c r="F135" s="19">
        <v>20.0</v>
      </c>
      <c r="G135" s="19">
        <v>34.0</v>
      </c>
      <c r="H135" s="19">
        <v>22.0</v>
      </c>
      <c r="I135" s="19" t="s">
        <v>184</v>
      </c>
      <c r="L135" s="19">
        <v>15.0</v>
      </c>
      <c r="M135" s="19">
        <v>64.0</v>
      </c>
      <c r="N135" s="19" t="s">
        <v>157</v>
      </c>
      <c r="O135" s="22" t="str">
        <f t="array" ref="O135:O136">IF(A135:A241="",, XLOOKUP(D135:D241, 'Recal IDs Log'!E119:E241, 'Recal IDs Log'!B119:B241, "", 0, -1))</f>
        <v>#REF!</v>
      </c>
      <c r="P135" s="22">
        <f t="shared" si="3"/>
        <v>26</v>
      </c>
      <c r="Q135" s="22" t="str">
        <f t="shared" si="1"/>
        <v>Very Poor</v>
      </c>
      <c r="R135" s="22" t="str">
        <f t="shared" si="2"/>
        <v>Breath-Aware</v>
      </c>
    </row>
    <row r="136" ht="22.5" customHeight="1">
      <c r="A136" s="18">
        <v>46195.29489423611</v>
      </c>
      <c r="B136" s="19" t="s">
        <v>919</v>
      </c>
      <c r="D136" s="19" t="s">
        <v>920</v>
      </c>
      <c r="E136" s="19" t="s">
        <v>163</v>
      </c>
      <c r="F136" s="19">
        <v>15.0</v>
      </c>
      <c r="G136" s="19">
        <v>35.0</v>
      </c>
      <c r="H136" s="19">
        <v>26.0</v>
      </c>
      <c r="I136" s="19" t="s">
        <v>160</v>
      </c>
      <c r="K136" s="19" t="s">
        <v>1621</v>
      </c>
      <c r="L136" s="19">
        <v>9.0</v>
      </c>
      <c r="M136" s="19">
        <v>45.0</v>
      </c>
      <c r="N136" s="19" t="s">
        <v>157</v>
      </c>
      <c r="O136" s="22" t="str">
        <f t="array" ref="O136:O137">IF(A136:A241="",, XLOOKUP(D136:D241, 'Recal IDs Log'!E120:E241, 'Recal IDs Log'!B120:B241, "", 0, -1))</f>
        <v>#REF!</v>
      </c>
      <c r="P136" s="22">
        <f t="shared" si="3"/>
        <v>24</v>
      </c>
      <c r="Q136" s="22" t="str">
        <f t="shared" si="1"/>
        <v>Very Poor</v>
      </c>
      <c r="R136" s="22" t="str">
        <f t="shared" si="2"/>
        <v>Breath-Aware</v>
      </c>
    </row>
    <row r="137" ht="22.5" customHeight="1">
      <c r="A137" s="18">
        <v>46196.58231795139</v>
      </c>
      <c r="B137" s="19" t="s">
        <v>922</v>
      </c>
      <c r="D137" s="19" t="s">
        <v>923</v>
      </c>
      <c r="E137" s="19" t="s">
        <v>594</v>
      </c>
      <c r="F137" s="19">
        <v>28.0</v>
      </c>
      <c r="G137" s="19">
        <v>48.0</v>
      </c>
      <c r="H137" s="19">
        <v>26.0</v>
      </c>
      <c r="I137" s="19" t="s">
        <v>184</v>
      </c>
      <c r="K137" s="19" t="s">
        <v>1622</v>
      </c>
      <c r="L137" s="19">
        <v>13.0</v>
      </c>
      <c r="M137" s="19">
        <v>59.0</v>
      </c>
      <c r="N137" s="19" t="s">
        <v>157</v>
      </c>
      <c r="O137" s="22" t="str">
        <f t="array" ref="O137:O138">IF(A137:A241="",, XLOOKUP(D137:D241, 'Recal IDs Log'!E121:E241, 'Recal IDs Log'!B121:B241, "", 0, -1))</f>
        <v>#REF!</v>
      </c>
      <c r="P137" s="22">
        <f t="shared" si="3"/>
        <v>38</v>
      </c>
      <c r="Q137" s="22" t="str">
        <f t="shared" si="1"/>
        <v>Poor</v>
      </c>
      <c r="R137" s="22" t="str">
        <f t="shared" si="2"/>
        <v>Breath Beginner</v>
      </c>
    </row>
    <row r="138" ht="22.5" customHeight="1">
      <c r="A138" s="18">
        <v>46196.77661340278</v>
      </c>
      <c r="B138" s="19" t="s">
        <v>1413</v>
      </c>
      <c r="D138" s="19" t="s">
        <v>926</v>
      </c>
      <c r="E138" s="19" t="s">
        <v>163</v>
      </c>
      <c r="F138" s="19">
        <v>24.0</v>
      </c>
      <c r="G138" s="19">
        <v>40.0</v>
      </c>
      <c r="H138" s="19">
        <v>72.0</v>
      </c>
      <c r="I138" s="19" t="s">
        <v>160</v>
      </c>
      <c r="K138" s="19" t="s">
        <v>1623</v>
      </c>
      <c r="L138" s="19">
        <v>8.0</v>
      </c>
      <c r="M138" s="19">
        <v>58.0</v>
      </c>
      <c r="N138" s="19" t="s">
        <v>198</v>
      </c>
      <c r="O138" s="22" t="str">
        <f t="array" ref="O138:O139">IF(A138:A241="",, XLOOKUP(D138:D241, 'Recal IDs Log'!E122:E241, 'Recal IDs Log'!B122:B241, "", 0, -1))</f>
        <v>#REF!</v>
      </c>
      <c r="P138" s="22">
        <f t="shared" si="3"/>
        <v>48</v>
      </c>
      <c r="Q138" s="22" t="str">
        <f t="shared" si="1"/>
        <v>Poor</v>
      </c>
      <c r="R138" s="22" t="str">
        <f t="shared" si="2"/>
        <v>Breath Beginner</v>
      </c>
    </row>
    <row r="139" ht="22.5" customHeight="1">
      <c r="A139" s="18">
        <v>46198.399887928244</v>
      </c>
      <c r="B139" s="19" t="s">
        <v>43</v>
      </c>
      <c r="D139" s="19" t="s">
        <v>681</v>
      </c>
      <c r="E139" s="19" t="s">
        <v>163</v>
      </c>
      <c r="F139" s="19">
        <v>23.0</v>
      </c>
      <c r="G139" s="19">
        <v>91.0</v>
      </c>
      <c r="H139" s="19">
        <v>110.0</v>
      </c>
      <c r="I139" s="19" t="s">
        <v>370</v>
      </c>
      <c r="K139" s="19" t="s">
        <v>700</v>
      </c>
      <c r="L139" s="19">
        <v>23.0</v>
      </c>
      <c r="M139" s="19">
        <v>36.0</v>
      </c>
      <c r="N139" s="19" t="s">
        <v>157</v>
      </c>
      <c r="O139" s="22" t="str">
        <f t="array" ref="O139:O140">IF(A139:A241="",, XLOOKUP(D139:D241, 'Recal IDs Log'!E123:E241, 'Recal IDs Log'!B123:B241, "", 0, -1))</f>
        <v>#REF!</v>
      </c>
      <c r="P139" s="22">
        <f t="shared" si="3"/>
        <v>84</v>
      </c>
      <c r="Q139" s="22" t="str">
        <f t="shared" si="1"/>
        <v>Great</v>
      </c>
      <c r="R139" s="22" t="str">
        <f t="shared" si="2"/>
        <v>Breathwork-Trained</v>
      </c>
    </row>
    <row r="140" ht="22.5" customHeight="1">
      <c r="A140" s="18">
        <v>46204.56332311343</v>
      </c>
      <c r="B140" s="19" t="s">
        <v>929</v>
      </c>
      <c r="D140" s="19" t="s">
        <v>930</v>
      </c>
      <c r="E140" s="19" t="s">
        <v>343</v>
      </c>
      <c r="F140" s="19">
        <v>33.0</v>
      </c>
      <c r="G140" s="19">
        <v>43.0</v>
      </c>
      <c r="H140" s="19">
        <v>85.0</v>
      </c>
      <c r="I140" s="19" t="s">
        <v>370</v>
      </c>
      <c r="L140" s="19">
        <v>15.0</v>
      </c>
      <c r="M140" s="19">
        <v>37.0</v>
      </c>
      <c r="N140" s="19" t="s">
        <v>157</v>
      </c>
      <c r="O140" s="22" t="str">
        <f t="array" ref="O140:O141">IF(A140:A241="",, XLOOKUP(D140:D241, 'Recal IDs Log'!E124:E241, 'Recal IDs Log'!B124:B241, "", 0, -1))</f>
        <v>#REF!</v>
      </c>
      <c r="P140" s="22">
        <f t="shared" si="3"/>
        <v>76</v>
      </c>
      <c r="Q140" s="22" t="str">
        <f t="shared" si="1"/>
        <v>Good</v>
      </c>
      <c r="R140" s="22" t="str">
        <f t="shared" si="2"/>
        <v>Functional Breather</v>
      </c>
    </row>
    <row r="141" ht="22.5" customHeight="1">
      <c r="A141" s="18">
        <v>46209.56283069444</v>
      </c>
      <c r="B141" s="19" t="s">
        <v>932</v>
      </c>
      <c r="D141" s="19" t="s">
        <v>933</v>
      </c>
      <c r="E141" s="19" t="s">
        <v>1137</v>
      </c>
      <c r="F141" s="19">
        <v>30.0</v>
      </c>
      <c r="G141" s="19">
        <v>58.0</v>
      </c>
      <c r="H141" s="19">
        <v>42.0</v>
      </c>
      <c r="I141" s="19" t="s">
        <v>160</v>
      </c>
      <c r="L141" s="19">
        <v>7.0</v>
      </c>
      <c r="M141" s="19">
        <v>58.0</v>
      </c>
      <c r="N141" s="19" t="s">
        <v>198</v>
      </c>
      <c r="O141" s="22" t="str">
        <f t="array" ref="O141:O142">IF(A141:A241="",, XLOOKUP(D141:D241, 'Recal IDs Log'!E125:E241, 'Recal IDs Log'!B125:B241, "", 0, -1))</f>
        <v>#REF!</v>
      </c>
      <c r="P141" s="22">
        <f t="shared" si="3"/>
        <v>44</v>
      </c>
      <c r="Q141" s="22" t="str">
        <f t="shared" si="1"/>
        <v>Poor</v>
      </c>
      <c r="R141" s="22" t="str">
        <f t="shared" si="2"/>
        <v>Breath Beginner</v>
      </c>
    </row>
    <row r="142" ht="22.5" customHeight="1">
      <c r="A142" s="18">
        <v>46221.93718486111</v>
      </c>
      <c r="B142" s="19" t="s">
        <v>938</v>
      </c>
      <c r="D142" s="19" t="s">
        <v>940</v>
      </c>
      <c r="E142" s="19" t="s">
        <v>163</v>
      </c>
      <c r="F142" s="19">
        <v>20.0</v>
      </c>
      <c r="G142" s="19">
        <v>69.0</v>
      </c>
      <c r="H142" s="19">
        <v>56.0</v>
      </c>
      <c r="I142" s="19" t="s">
        <v>353</v>
      </c>
      <c r="K142" s="19" t="s">
        <v>1624</v>
      </c>
      <c r="L142" s="19">
        <v>9.0</v>
      </c>
      <c r="M142" s="19">
        <v>67.0</v>
      </c>
      <c r="N142" s="19" t="s">
        <v>198</v>
      </c>
      <c r="O142" s="22" t="str">
        <f t="array" ref="O142:O143">IF(A142:A241="",, XLOOKUP(D142:D241, 'Recal IDs Log'!E126:E241, 'Recal IDs Log'!B126:B241, "", 0, -1))</f>
        <v>#REF!</v>
      </c>
      <c r="P142" s="22">
        <f t="shared" si="3"/>
        <v>58</v>
      </c>
      <c r="Q142" s="22" t="str">
        <f t="shared" si="1"/>
        <v>Fair</v>
      </c>
      <c r="R142" s="22" t="str">
        <f t="shared" si="2"/>
        <v>Breather-in-Training</v>
      </c>
    </row>
    <row r="143" ht="22.5" customHeight="1">
      <c r="A143" s="18">
        <v>46225.77197564815</v>
      </c>
      <c r="B143" s="19" t="s">
        <v>942</v>
      </c>
      <c r="D143" s="19" t="s">
        <v>943</v>
      </c>
      <c r="E143" s="19" t="s">
        <v>343</v>
      </c>
      <c r="F143" s="19">
        <v>10.0</v>
      </c>
      <c r="G143" s="19">
        <v>12.0</v>
      </c>
      <c r="H143" s="19">
        <v>25.0</v>
      </c>
      <c r="I143" s="19" t="s">
        <v>184</v>
      </c>
      <c r="K143" s="19" t="s">
        <v>1625</v>
      </c>
      <c r="L143" s="19">
        <v>2.0</v>
      </c>
      <c r="M143" s="19">
        <v>38.0</v>
      </c>
      <c r="N143" s="19" t="s">
        <v>198</v>
      </c>
      <c r="O143" s="22" t="str">
        <f t="array" ref="O143:O241">IF(A143:A241="",, XLOOKUP(D143:D241, 'Recal IDs Log'!E127:E241, 'Recal IDs Log'!B127:B241, "", 0, -1))</f>
        <v>7de8c25a-06f7-4ed0-a03a-e3ee6befd137</v>
      </c>
      <c r="P143" s="22">
        <f t="shared" si="3"/>
        <v>24</v>
      </c>
      <c r="Q143" s="22" t="str">
        <f t="shared" si="1"/>
        <v>Very Poor</v>
      </c>
      <c r="R143" s="22" t="str">
        <f t="shared" si="2"/>
        <v>Breath-Aware</v>
      </c>
    </row>
    <row r="144">
      <c r="K144" s="26"/>
      <c r="L144" s="26"/>
      <c r="M144" s="26"/>
      <c r="N144" s="26"/>
      <c r="O144" s="34"/>
    </row>
    <row r="145">
      <c r="K145" s="26"/>
      <c r="L145" s="26"/>
      <c r="M145" s="26"/>
      <c r="N145" s="26"/>
      <c r="O145" s="34"/>
    </row>
    <row r="146">
      <c r="K146" s="26"/>
      <c r="L146" s="26"/>
      <c r="M146" s="26"/>
      <c r="N146" s="26"/>
      <c r="O146" s="34"/>
    </row>
    <row r="147">
      <c r="K147" s="26"/>
      <c r="L147" s="26"/>
      <c r="M147" s="26"/>
      <c r="N147" s="26"/>
      <c r="O147" s="34"/>
    </row>
    <row r="148">
      <c r="K148" s="26"/>
      <c r="L148" s="26"/>
      <c r="M148" s="26"/>
      <c r="N148" s="26"/>
      <c r="O148" s="34"/>
    </row>
    <row r="149">
      <c r="K149" s="26"/>
      <c r="L149" s="26"/>
      <c r="M149" s="26"/>
      <c r="N149" s="26"/>
      <c r="O149" s="34"/>
    </row>
    <row r="150">
      <c r="K150" s="26"/>
      <c r="L150" s="26"/>
      <c r="M150" s="26"/>
      <c r="N150" s="26"/>
      <c r="O150" s="34"/>
    </row>
    <row r="151">
      <c r="K151" s="26"/>
      <c r="L151" s="26"/>
      <c r="M151" s="26"/>
      <c r="N151" s="26"/>
      <c r="O151" s="34"/>
    </row>
    <row r="152">
      <c r="K152" s="26"/>
      <c r="L152" s="26"/>
      <c r="M152" s="26"/>
      <c r="N152" s="26"/>
      <c r="O152" s="34"/>
    </row>
    <row r="153">
      <c r="K153" s="26"/>
      <c r="L153" s="26"/>
      <c r="M153" s="26"/>
      <c r="N153" s="26"/>
      <c r="O153" s="34"/>
    </row>
    <row r="154">
      <c r="K154" s="26"/>
      <c r="L154" s="26"/>
      <c r="M154" s="26"/>
      <c r="N154" s="26"/>
      <c r="O154" s="34"/>
    </row>
    <row r="155">
      <c r="K155" s="26"/>
      <c r="L155" s="26"/>
      <c r="M155" s="26"/>
      <c r="N155" s="26"/>
      <c r="O155" s="34"/>
    </row>
    <row r="156">
      <c r="K156" s="26"/>
      <c r="L156" s="26"/>
      <c r="M156" s="26"/>
      <c r="N156" s="26"/>
      <c r="O156" s="34"/>
    </row>
    <row r="157">
      <c r="K157" s="26"/>
      <c r="L157" s="26"/>
      <c r="M157" s="26"/>
      <c r="N157" s="26"/>
      <c r="O157" s="34"/>
    </row>
    <row r="158">
      <c r="K158" s="26"/>
      <c r="L158" s="26"/>
      <c r="M158" s="26"/>
      <c r="N158" s="26"/>
      <c r="O158" s="34"/>
    </row>
    <row r="159">
      <c r="K159" s="26"/>
      <c r="L159" s="26"/>
      <c r="M159" s="26"/>
      <c r="N159" s="26"/>
      <c r="O159" s="34"/>
    </row>
    <row r="160">
      <c r="K160" s="26"/>
      <c r="L160" s="26"/>
      <c r="M160" s="26"/>
      <c r="N160" s="26"/>
      <c r="O160" s="34"/>
    </row>
    <row r="161">
      <c r="K161" s="26"/>
      <c r="L161" s="26"/>
      <c r="M161" s="26"/>
      <c r="N161" s="26"/>
      <c r="O161" s="34"/>
    </row>
    <row r="162">
      <c r="K162" s="26"/>
      <c r="L162" s="26"/>
      <c r="M162" s="26"/>
      <c r="N162" s="26"/>
      <c r="O162" s="34"/>
    </row>
    <row r="163">
      <c r="K163" s="26"/>
      <c r="L163" s="26"/>
      <c r="M163" s="26"/>
      <c r="N163" s="26"/>
      <c r="O163" s="34"/>
    </row>
    <row r="164">
      <c r="K164" s="26"/>
      <c r="L164" s="26"/>
      <c r="M164" s="26"/>
      <c r="N164" s="26"/>
      <c r="O164" s="34"/>
    </row>
    <row r="165">
      <c r="K165" s="26"/>
      <c r="L165" s="26"/>
      <c r="M165" s="26"/>
      <c r="N165" s="26"/>
      <c r="O165" s="34"/>
    </row>
    <row r="166">
      <c r="K166" s="26"/>
      <c r="L166" s="26"/>
      <c r="M166" s="26"/>
      <c r="N166" s="26"/>
      <c r="O166" s="34"/>
    </row>
    <row r="167">
      <c r="K167" s="26"/>
      <c r="L167" s="26"/>
      <c r="M167" s="26"/>
      <c r="N167" s="26"/>
      <c r="O167" s="34"/>
    </row>
    <row r="168">
      <c r="K168" s="26"/>
      <c r="L168" s="26"/>
      <c r="M168" s="26"/>
      <c r="N168" s="26"/>
      <c r="O168" s="34"/>
    </row>
    <row r="169">
      <c r="K169" s="26"/>
      <c r="L169" s="26"/>
      <c r="M169" s="26"/>
      <c r="N169" s="26"/>
      <c r="O169" s="34"/>
    </row>
    <row r="170">
      <c r="K170" s="26"/>
      <c r="L170" s="26"/>
      <c r="M170" s="26"/>
      <c r="N170" s="26"/>
      <c r="O170" s="34"/>
    </row>
    <row r="171">
      <c r="K171" s="26"/>
      <c r="L171" s="26"/>
      <c r="M171" s="26"/>
      <c r="N171" s="26"/>
      <c r="O171" s="34"/>
    </row>
    <row r="172">
      <c r="K172" s="26"/>
      <c r="L172" s="26"/>
      <c r="M172" s="26"/>
      <c r="N172" s="26"/>
      <c r="O172" s="34"/>
    </row>
    <row r="173">
      <c r="K173" s="26"/>
      <c r="L173" s="26"/>
      <c r="M173" s="26"/>
      <c r="N173" s="26"/>
      <c r="O173" s="34"/>
    </row>
    <row r="174">
      <c r="K174" s="26"/>
      <c r="L174" s="26"/>
      <c r="M174" s="26"/>
      <c r="N174" s="26"/>
      <c r="O174" s="34"/>
    </row>
    <row r="175">
      <c r="K175" s="26"/>
      <c r="L175" s="26"/>
      <c r="M175" s="26"/>
      <c r="N175" s="26"/>
      <c r="O175" s="34"/>
    </row>
    <row r="176">
      <c r="K176" s="26"/>
      <c r="L176" s="26"/>
      <c r="M176" s="26"/>
      <c r="N176" s="26"/>
      <c r="O176" s="34"/>
    </row>
    <row r="177">
      <c r="K177" s="26"/>
      <c r="L177" s="26"/>
      <c r="M177" s="26"/>
      <c r="N177" s="26"/>
      <c r="O177" s="34"/>
    </row>
    <row r="178">
      <c r="K178" s="26"/>
      <c r="L178" s="26"/>
      <c r="M178" s="26"/>
      <c r="N178" s="26"/>
      <c r="O178" s="34"/>
    </row>
    <row r="179">
      <c r="K179" s="26"/>
      <c r="L179" s="26"/>
      <c r="M179" s="26"/>
      <c r="N179" s="26"/>
      <c r="O179" s="34"/>
    </row>
    <row r="180">
      <c r="K180" s="26"/>
      <c r="L180" s="26"/>
      <c r="M180" s="26"/>
      <c r="N180" s="26"/>
      <c r="O180" s="34"/>
    </row>
    <row r="181">
      <c r="K181" s="26"/>
      <c r="L181" s="26"/>
      <c r="M181" s="26"/>
      <c r="N181" s="26"/>
      <c r="O181" s="34"/>
    </row>
    <row r="182">
      <c r="K182" s="26"/>
      <c r="L182" s="26"/>
      <c r="M182" s="26"/>
      <c r="N182" s="26"/>
      <c r="O182" s="34"/>
    </row>
    <row r="183">
      <c r="K183" s="26"/>
      <c r="L183" s="26"/>
      <c r="M183" s="26"/>
      <c r="N183" s="26"/>
      <c r="O183" s="34"/>
    </row>
    <row r="184">
      <c r="K184" s="26"/>
      <c r="L184" s="26"/>
      <c r="M184" s="26"/>
      <c r="N184" s="26"/>
      <c r="O184" s="34"/>
    </row>
    <row r="185">
      <c r="K185" s="26"/>
      <c r="L185" s="26"/>
      <c r="M185" s="26"/>
      <c r="N185" s="26"/>
      <c r="O185" s="34"/>
    </row>
    <row r="186">
      <c r="K186" s="26"/>
      <c r="L186" s="26"/>
      <c r="M186" s="26"/>
      <c r="N186" s="26"/>
      <c r="O186" s="34"/>
    </row>
    <row r="187">
      <c r="K187" s="26"/>
      <c r="L187" s="26"/>
      <c r="M187" s="26"/>
      <c r="N187" s="26"/>
      <c r="O187" s="34"/>
    </row>
    <row r="188">
      <c r="K188" s="26"/>
      <c r="L188" s="26"/>
      <c r="M188" s="26"/>
      <c r="N188" s="26"/>
      <c r="O188" s="34"/>
    </row>
    <row r="189">
      <c r="K189" s="26"/>
      <c r="L189" s="26"/>
      <c r="M189" s="26"/>
      <c r="N189" s="26"/>
      <c r="O189" s="34"/>
    </row>
    <row r="190">
      <c r="K190" s="26"/>
      <c r="L190" s="26"/>
      <c r="M190" s="26"/>
      <c r="N190" s="26"/>
      <c r="O190" s="34"/>
    </row>
    <row r="191">
      <c r="K191" s="26"/>
      <c r="L191" s="26"/>
      <c r="M191" s="26"/>
      <c r="N191" s="26"/>
      <c r="O191" s="34"/>
    </row>
    <row r="192">
      <c r="K192" s="26"/>
      <c r="L192" s="26"/>
      <c r="M192" s="26"/>
      <c r="N192" s="26"/>
      <c r="O192" s="34"/>
    </row>
    <row r="193">
      <c r="K193" s="26"/>
      <c r="L193" s="26"/>
      <c r="M193" s="26"/>
      <c r="N193" s="26"/>
      <c r="O193" s="34"/>
    </row>
    <row r="194">
      <c r="K194" s="26"/>
      <c r="L194" s="26"/>
      <c r="M194" s="26"/>
      <c r="N194" s="26"/>
      <c r="O194" s="34"/>
    </row>
    <row r="195">
      <c r="K195" s="26"/>
      <c r="L195" s="26"/>
      <c r="M195" s="26"/>
      <c r="N195" s="26"/>
      <c r="O195" s="34"/>
    </row>
    <row r="196">
      <c r="K196" s="26"/>
      <c r="L196" s="26"/>
      <c r="M196" s="26"/>
      <c r="N196" s="26"/>
      <c r="O196" s="34"/>
    </row>
    <row r="197">
      <c r="K197" s="26"/>
      <c r="L197" s="26"/>
      <c r="M197" s="26"/>
      <c r="N197" s="26"/>
      <c r="O197" s="34"/>
    </row>
    <row r="198">
      <c r="K198" s="26"/>
      <c r="L198" s="26"/>
      <c r="M198" s="26"/>
      <c r="N198" s="26"/>
      <c r="O198" s="34"/>
    </row>
    <row r="199">
      <c r="K199" s="26"/>
      <c r="L199" s="26"/>
      <c r="M199" s="26"/>
      <c r="N199" s="26"/>
      <c r="O199" s="34"/>
    </row>
    <row r="200">
      <c r="K200" s="26"/>
      <c r="L200" s="26"/>
      <c r="M200" s="26"/>
      <c r="N200" s="26"/>
      <c r="O200" s="34"/>
    </row>
    <row r="201">
      <c r="K201" s="26"/>
      <c r="L201" s="26"/>
      <c r="M201" s="26"/>
      <c r="N201" s="26"/>
      <c r="O201" s="34"/>
    </row>
    <row r="202">
      <c r="K202" s="26"/>
      <c r="L202" s="26"/>
      <c r="M202" s="26"/>
      <c r="N202" s="26"/>
      <c r="O202" s="34"/>
    </row>
    <row r="203">
      <c r="K203" s="26"/>
      <c r="L203" s="26"/>
      <c r="M203" s="26"/>
      <c r="N203" s="26"/>
      <c r="O203" s="34"/>
    </row>
    <row r="204">
      <c r="K204" s="26"/>
      <c r="L204" s="26"/>
      <c r="M204" s="26"/>
      <c r="N204" s="26"/>
      <c r="O204" s="34"/>
    </row>
    <row r="205">
      <c r="K205" s="26"/>
      <c r="L205" s="26"/>
      <c r="M205" s="26"/>
      <c r="N205" s="26"/>
      <c r="O205" s="34"/>
    </row>
    <row r="206">
      <c r="K206" s="26"/>
      <c r="L206" s="26"/>
      <c r="M206" s="26"/>
      <c r="N206" s="26"/>
      <c r="O206" s="34"/>
    </row>
    <row r="207">
      <c r="K207" s="26"/>
      <c r="L207" s="26"/>
      <c r="M207" s="26"/>
      <c r="N207" s="26"/>
      <c r="O207" s="34"/>
    </row>
    <row r="208">
      <c r="K208" s="26"/>
      <c r="L208" s="26"/>
      <c r="M208" s="26"/>
      <c r="N208" s="26"/>
      <c r="O208" s="34"/>
    </row>
    <row r="209">
      <c r="K209" s="26"/>
      <c r="L209" s="26"/>
      <c r="M209" s="26"/>
      <c r="N209" s="26"/>
      <c r="O209" s="34"/>
    </row>
    <row r="210">
      <c r="K210" s="26"/>
      <c r="L210" s="26"/>
      <c r="M210" s="26"/>
      <c r="N210" s="26"/>
      <c r="O210" s="34"/>
    </row>
    <row r="211">
      <c r="K211" s="26"/>
      <c r="L211" s="26"/>
      <c r="M211" s="26"/>
      <c r="N211" s="26"/>
      <c r="O211" s="34"/>
    </row>
    <row r="212">
      <c r="K212" s="26"/>
      <c r="L212" s="26"/>
      <c r="M212" s="26"/>
      <c r="N212" s="26"/>
      <c r="O212" s="34"/>
    </row>
    <row r="213">
      <c r="K213" s="26"/>
      <c r="L213" s="26"/>
      <c r="M213" s="26"/>
      <c r="N213" s="26"/>
      <c r="O213" s="34"/>
    </row>
    <row r="214">
      <c r="K214" s="26"/>
      <c r="L214" s="26"/>
      <c r="M214" s="26"/>
      <c r="N214" s="26"/>
      <c r="O214" s="34"/>
    </row>
    <row r="215">
      <c r="K215" s="26"/>
      <c r="L215" s="26"/>
      <c r="M215" s="26"/>
      <c r="N215" s="26"/>
      <c r="O215" s="34"/>
    </row>
    <row r="216">
      <c r="K216" s="26"/>
      <c r="L216" s="26"/>
      <c r="M216" s="26"/>
      <c r="N216" s="26"/>
      <c r="O216" s="34"/>
    </row>
    <row r="217">
      <c r="K217" s="26"/>
      <c r="L217" s="26"/>
      <c r="M217" s="26"/>
      <c r="N217" s="26"/>
      <c r="O217" s="34"/>
    </row>
    <row r="218">
      <c r="K218" s="26"/>
      <c r="L218" s="26"/>
      <c r="M218" s="26"/>
      <c r="N218" s="26"/>
      <c r="O218" s="34"/>
    </row>
    <row r="219">
      <c r="K219" s="26"/>
      <c r="L219" s="26"/>
      <c r="M219" s="26"/>
      <c r="N219" s="26"/>
      <c r="O219" s="34"/>
    </row>
    <row r="220">
      <c r="K220" s="26"/>
      <c r="L220" s="26"/>
      <c r="M220" s="26"/>
      <c r="N220" s="26"/>
      <c r="O220" s="34"/>
    </row>
    <row r="221">
      <c r="K221" s="26"/>
      <c r="L221" s="26"/>
      <c r="M221" s="26"/>
      <c r="N221" s="26"/>
      <c r="O221" s="34"/>
    </row>
    <row r="222">
      <c r="K222" s="26"/>
      <c r="L222" s="26"/>
      <c r="M222" s="26"/>
      <c r="N222" s="26"/>
      <c r="O222" s="34"/>
    </row>
    <row r="223">
      <c r="K223" s="26"/>
      <c r="L223" s="26"/>
      <c r="M223" s="26"/>
      <c r="N223" s="26"/>
      <c r="O223" s="34"/>
    </row>
    <row r="224">
      <c r="K224" s="26"/>
      <c r="L224" s="26"/>
      <c r="M224" s="26"/>
      <c r="N224" s="26"/>
      <c r="O224" s="34"/>
    </row>
    <row r="225">
      <c r="K225" s="26"/>
      <c r="L225" s="26"/>
      <c r="M225" s="26"/>
      <c r="N225" s="26"/>
      <c r="O225" s="34"/>
    </row>
    <row r="226">
      <c r="K226" s="26"/>
      <c r="L226" s="26"/>
      <c r="M226" s="26"/>
      <c r="N226" s="26"/>
      <c r="O226" s="34"/>
    </row>
    <row r="227">
      <c r="K227" s="26"/>
      <c r="L227" s="26"/>
      <c r="M227" s="26"/>
      <c r="N227" s="26"/>
      <c r="O227" s="34"/>
    </row>
    <row r="228">
      <c r="K228" s="26"/>
      <c r="L228" s="26"/>
      <c r="M228" s="26"/>
      <c r="N228" s="26"/>
      <c r="O228" s="34"/>
    </row>
    <row r="229">
      <c r="K229" s="26"/>
      <c r="L229" s="26"/>
      <c r="M229" s="26"/>
      <c r="N229" s="26"/>
      <c r="O229" s="34"/>
    </row>
    <row r="230">
      <c r="K230" s="26"/>
      <c r="L230" s="26"/>
      <c r="M230" s="26"/>
      <c r="N230" s="26"/>
      <c r="O230" s="34"/>
    </row>
    <row r="231">
      <c r="K231" s="26"/>
      <c r="L231" s="26"/>
      <c r="M231" s="26"/>
      <c r="N231" s="26"/>
      <c r="O231" s="34"/>
    </row>
    <row r="232">
      <c r="K232" s="26"/>
      <c r="L232" s="26"/>
      <c r="M232" s="26"/>
      <c r="N232" s="26"/>
      <c r="O232" s="34"/>
    </row>
    <row r="233">
      <c r="K233" s="26"/>
      <c r="L233" s="26"/>
      <c r="M233" s="26"/>
      <c r="N233" s="26"/>
      <c r="O233" s="34"/>
    </row>
    <row r="234">
      <c r="K234" s="26"/>
      <c r="L234" s="26"/>
      <c r="M234" s="26"/>
      <c r="N234" s="26"/>
      <c r="O234" s="34"/>
    </row>
    <row r="235">
      <c r="K235" s="26"/>
      <c r="L235" s="26"/>
      <c r="M235" s="26"/>
      <c r="N235" s="26"/>
      <c r="O235" s="34"/>
    </row>
    <row r="236">
      <c r="K236" s="26"/>
      <c r="L236" s="26"/>
      <c r="M236" s="26"/>
      <c r="N236" s="26"/>
      <c r="O236" s="34"/>
    </row>
    <row r="237">
      <c r="K237" s="26"/>
      <c r="L237" s="26"/>
      <c r="M237" s="26"/>
      <c r="N237" s="26"/>
      <c r="O237" s="34"/>
    </row>
    <row r="238">
      <c r="K238" s="26"/>
      <c r="L238" s="26"/>
      <c r="M238" s="26"/>
      <c r="N238" s="26"/>
      <c r="O238" s="34"/>
    </row>
    <row r="239">
      <c r="K239" s="26"/>
      <c r="L239" s="26"/>
      <c r="M239" s="26"/>
      <c r="N239" s="26"/>
      <c r="O239" s="34"/>
    </row>
    <row r="240">
      <c r="K240" s="26"/>
      <c r="L240" s="26"/>
      <c r="M240" s="26"/>
      <c r="N240" s="26"/>
      <c r="O240" s="34"/>
    </row>
    <row r="241">
      <c r="K241" s="26"/>
      <c r="L241" s="26"/>
      <c r="M241" s="26"/>
      <c r="N241" s="26"/>
      <c r="O241" s="34"/>
    </row>
  </sheetData>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4.75"/>
    <col customWidth="1" min="3" max="3" width="25.25"/>
    <col customWidth="1" min="4" max="4" width="50.88"/>
    <col customWidth="1" min="5" max="5" width="24.25"/>
  </cols>
  <sheetData>
    <row r="1">
      <c r="A1" s="1" t="s">
        <v>0</v>
      </c>
      <c r="B1" s="1" t="s">
        <v>1</v>
      </c>
      <c r="C1" s="1" t="s">
        <v>5</v>
      </c>
      <c r="D1" s="2" t="s">
        <v>7</v>
      </c>
      <c r="E1" s="1" t="s">
        <v>9</v>
      </c>
      <c r="F1" s="4"/>
      <c r="G1" s="4"/>
      <c r="H1" s="4"/>
      <c r="I1" s="4"/>
      <c r="J1" s="4"/>
      <c r="K1" s="4"/>
      <c r="L1" s="4"/>
      <c r="M1" s="4"/>
      <c r="N1" s="4"/>
      <c r="O1" s="4"/>
      <c r="P1" s="4"/>
      <c r="Q1" s="4"/>
      <c r="R1" s="4"/>
      <c r="S1" s="4"/>
      <c r="T1" s="4"/>
      <c r="U1" s="4"/>
      <c r="V1" s="4"/>
      <c r="W1" s="4"/>
      <c r="X1" s="4"/>
      <c r="Y1" s="4"/>
      <c r="Z1" s="4"/>
    </row>
    <row r="2">
      <c r="A2" s="3" t="s">
        <v>17</v>
      </c>
      <c r="B2" s="3" t="s">
        <v>18</v>
      </c>
      <c r="C2" s="3" t="s">
        <v>19</v>
      </c>
      <c r="D2" s="6" t="s">
        <v>20</v>
      </c>
      <c r="E2" s="7">
        <v>46178.51458333333</v>
      </c>
    </row>
    <row r="3">
      <c r="A3" s="3" t="s">
        <v>17</v>
      </c>
      <c r="B3" s="3" t="s">
        <v>18</v>
      </c>
      <c r="C3" s="3" t="s">
        <v>19</v>
      </c>
      <c r="D3" s="6" t="s">
        <v>22</v>
      </c>
      <c r="E3" s="7">
        <v>46178.51527777778</v>
      </c>
    </row>
    <row r="4">
      <c r="A4" s="3" t="s">
        <v>17</v>
      </c>
      <c r="B4" s="3" t="s">
        <v>18</v>
      </c>
      <c r="C4" s="3" t="s">
        <v>19</v>
      </c>
      <c r="D4" s="6" t="s">
        <v>24</v>
      </c>
      <c r="E4" s="7">
        <v>46178.51597222222</v>
      </c>
    </row>
    <row r="5">
      <c r="A5" s="3" t="s">
        <v>17</v>
      </c>
      <c r="B5" s="3" t="s">
        <v>25</v>
      </c>
      <c r="C5" s="3" t="s">
        <v>26</v>
      </c>
      <c r="D5" s="6" t="s">
        <v>28</v>
      </c>
      <c r="E5" s="9">
        <v>46148.51924768519</v>
      </c>
    </row>
    <row r="6">
      <c r="A6" s="3" t="s">
        <v>17</v>
      </c>
      <c r="B6" s="3" t="s">
        <v>25</v>
      </c>
      <c r="C6" s="3" t="s">
        <v>26</v>
      </c>
      <c r="D6" s="6" t="s">
        <v>32</v>
      </c>
      <c r="E6" s="9">
        <v>46148.51934027778</v>
      </c>
    </row>
    <row r="7">
      <c r="A7" s="3" t="s">
        <v>17</v>
      </c>
      <c r="B7" s="3" t="s">
        <v>35</v>
      </c>
      <c r="C7" s="3" t="s">
        <v>36</v>
      </c>
      <c r="D7" s="6" t="s">
        <v>37</v>
      </c>
      <c r="E7" s="9">
        <v>46148.58078703703</v>
      </c>
    </row>
    <row r="8">
      <c r="A8" s="3" t="s">
        <v>17</v>
      </c>
      <c r="B8" s="3" t="s">
        <v>35</v>
      </c>
      <c r="C8" s="3" t="s">
        <v>36</v>
      </c>
      <c r="D8" s="6" t="s">
        <v>40</v>
      </c>
      <c r="E8" s="7">
        <v>46178.65628472222</v>
      </c>
    </row>
    <row r="9">
      <c r="A9" s="3" t="s">
        <v>17</v>
      </c>
      <c r="B9" s="3" t="s">
        <v>43</v>
      </c>
      <c r="C9" s="3" t="s">
        <v>44</v>
      </c>
      <c r="D9" s="6" t="s">
        <v>45</v>
      </c>
      <c r="E9" s="7">
        <v>46178.657743055555</v>
      </c>
    </row>
    <row r="10">
      <c r="A10" s="3" t="s">
        <v>17</v>
      </c>
      <c r="B10" s="3" t="s">
        <v>43</v>
      </c>
      <c r="C10" s="3" t="s">
        <v>44</v>
      </c>
      <c r="D10" s="6" t="s">
        <v>51</v>
      </c>
      <c r="E10" s="7">
        <v>46178.66087962963</v>
      </c>
    </row>
    <row r="11">
      <c r="A11" s="3" t="s">
        <v>17</v>
      </c>
      <c r="B11" s="3" t="s">
        <v>43</v>
      </c>
      <c r="C11" s="3" t="s">
        <v>44</v>
      </c>
      <c r="D11" s="6" t="s">
        <v>55</v>
      </c>
      <c r="E11" s="7">
        <v>46178.662407407406</v>
      </c>
    </row>
    <row r="12">
      <c r="A12" s="3" t="s">
        <v>17</v>
      </c>
      <c r="B12" s="3" t="s">
        <v>43</v>
      </c>
      <c r="C12" s="3" t="s">
        <v>44</v>
      </c>
      <c r="D12" s="6" t="s">
        <v>58</v>
      </c>
      <c r="E12" s="7">
        <v>46178.662824074076</v>
      </c>
    </row>
    <row r="13">
      <c r="A13" s="3" t="s">
        <v>17</v>
      </c>
      <c r="B13" s="3" t="s">
        <v>43</v>
      </c>
      <c r="C13" s="3" t="s">
        <v>44</v>
      </c>
      <c r="D13" s="6" t="s">
        <v>61</v>
      </c>
      <c r="E13" s="7">
        <v>46178.66431712963</v>
      </c>
    </row>
    <row r="14">
      <c r="A14" s="3" t="s">
        <v>17</v>
      </c>
      <c r="B14" s="3" t="s">
        <v>43</v>
      </c>
      <c r="C14" s="3" t="s">
        <v>44</v>
      </c>
      <c r="D14" s="6" t="s">
        <v>65</v>
      </c>
      <c r="E14" s="7">
        <v>46178.66648148148</v>
      </c>
    </row>
    <row r="15">
      <c r="A15" s="3" t="s">
        <v>17</v>
      </c>
      <c r="B15" s="3" t="s">
        <v>43</v>
      </c>
      <c r="C15" s="3" t="s">
        <v>44</v>
      </c>
      <c r="D15" s="6" t="s">
        <v>68</v>
      </c>
      <c r="E15" s="7">
        <v>46178.66868055556</v>
      </c>
    </row>
    <row r="16">
      <c r="A16" s="3" t="s">
        <v>17</v>
      </c>
      <c r="B16" s="3" t="s">
        <v>43</v>
      </c>
      <c r="C16" s="3" t="s">
        <v>44</v>
      </c>
      <c r="D16" s="6" t="s">
        <v>71</v>
      </c>
      <c r="E16" s="7">
        <v>46178.670335648145</v>
      </c>
    </row>
    <row r="17">
      <c r="A17" s="3" t="s">
        <v>17</v>
      </c>
      <c r="B17" s="3" t="s">
        <v>43</v>
      </c>
      <c r="C17" s="3" t="s">
        <v>44</v>
      </c>
      <c r="D17" s="6" t="s">
        <v>75</v>
      </c>
      <c r="E17" s="7">
        <v>46178.67065972222</v>
      </c>
    </row>
    <row r="18">
      <c r="A18" s="3" t="s">
        <v>17</v>
      </c>
      <c r="B18" s="3" t="s">
        <v>43</v>
      </c>
      <c r="C18" s="3" t="s">
        <v>44</v>
      </c>
      <c r="D18" s="6" t="s">
        <v>81</v>
      </c>
      <c r="E18" s="7">
        <v>46178.67261574074</v>
      </c>
    </row>
    <row r="19">
      <c r="A19" s="3" t="s">
        <v>17</v>
      </c>
      <c r="B19" s="3" t="s">
        <v>25</v>
      </c>
      <c r="C19" s="3" t="s">
        <v>26</v>
      </c>
      <c r="D19" s="6" t="s">
        <v>83</v>
      </c>
      <c r="E19" s="9">
        <v>46240.65503472222</v>
      </c>
    </row>
    <row r="20">
      <c r="A20" s="3" t="s">
        <v>17</v>
      </c>
      <c r="B20" s="3" t="s">
        <v>25</v>
      </c>
      <c r="C20" s="3" t="s">
        <v>26</v>
      </c>
      <c r="D20" s="6" t="s">
        <v>87</v>
      </c>
      <c r="E20" s="9">
        <v>46240.65553240741</v>
      </c>
    </row>
    <row r="21">
      <c r="A21" s="3" t="s">
        <v>17</v>
      </c>
      <c r="B21" s="3" t="s">
        <v>25</v>
      </c>
      <c r="C21" s="3" t="s">
        <v>26</v>
      </c>
      <c r="D21" s="6" t="s">
        <v>90</v>
      </c>
      <c r="E21" s="9">
        <v>46240.655625</v>
      </c>
    </row>
    <row r="22">
      <c r="A22" s="3" t="s">
        <v>17</v>
      </c>
      <c r="B22" s="3" t="s">
        <v>25</v>
      </c>
      <c r="C22" s="3" t="s">
        <v>26</v>
      </c>
      <c r="D22" s="6" t="s">
        <v>91</v>
      </c>
      <c r="E22" s="9">
        <v>46240.65813657407</v>
      </c>
    </row>
    <row r="23">
      <c r="A23" s="3" t="s">
        <v>17</v>
      </c>
      <c r="B23" s="3" t="s">
        <v>35</v>
      </c>
      <c r="C23" s="3" t="s">
        <v>36</v>
      </c>
      <c r="D23" s="6" t="s">
        <v>96</v>
      </c>
      <c r="E23" s="9">
        <v>46240.685590277775</v>
      </c>
    </row>
    <row r="24">
      <c r="A24" s="3" t="s">
        <v>17</v>
      </c>
      <c r="B24" s="3" t="s">
        <v>35</v>
      </c>
      <c r="C24" s="3" t="s">
        <v>36</v>
      </c>
      <c r="D24" s="6" t="s">
        <v>97</v>
      </c>
      <c r="E24" s="9">
        <v>46240.68837962963</v>
      </c>
    </row>
    <row r="25">
      <c r="A25" s="3" t="s">
        <v>17</v>
      </c>
      <c r="B25" s="3" t="s">
        <v>98</v>
      </c>
      <c r="C25" s="3" t="s">
        <v>99</v>
      </c>
      <c r="D25" s="6" t="s">
        <v>100</v>
      </c>
      <c r="E25" s="9">
        <v>46240.6896412037</v>
      </c>
    </row>
    <row r="26">
      <c r="A26" s="3" t="s">
        <v>17</v>
      </c>
      <c r="B26" s="3" t="s">
        <v>98</v>
      </c>
      <c r="C26" s="3" t="s">
        <v>99</v>
      </c>
      <c r="D26" s="6" t="s">
        <v>102</v>
      </c>
      <c r="E26" s="9">
        <v>46240.69008101852</v>
      </c>
    </row>
    <row r="27">
      <c r="A27" s="3" t="s">
        <v>17</v>
      </c>
      <c r="B27" s="3" t="s">
        <v>98</v>
      </c>
      <c r="C27" s="3" t="s">
        <v>99</v>
      </c>
      <c r="D27" s="6" t="s">
        <v>103</v>
      </c>
      <c r="E27" s="9">
        <v>46240.691099537034</v>
      </c>
    </row>
    <row r="28">
      <c r="A28" s="3" t="s">
        <v>17</v>
      </c>
      <c r="B28" s="3" t="s">
        <v>98</v>
      </c>
      <c r="C28" s="3" t="s">
        <v>99</v>
      </c>
      <c r="D28" s="6" t="s">
        <v>104</v>
      </c>
      <c r="E28" s="9">
        <v>46240.6925</v>
      </c>
    </row>
    <row r="29">
      <c r="A29" s="3" t="s">
        <v>17</v>
      </c>
      <c r="B29" s="3" t="s">
        <v>98</v>
      </c>
      <c r="C29" s="3" t="s">
        <v>99</v>
      </c>
      <c r="D29" s="6" t="s">
        <v>105</v>
      </c>
      <c r="E29" s="9">
        <v>46240.69440972222</v>
      </c>
    </row>
    <row r="30">
      <c r="A30" s="3" t="s">
        <v>17</v>
      </c>
      <c r="B30" s="3" t="s">
        <v>98</v>
      </c>
      <c r="C30" s="3" t="s">
        <v>99</v>
      </c>
      <c r="D30" s="6" t="s">
        <v>106</v>
      </c>
      <c r="E30" s="9">
        <v>46240.6968287037</v>
      </c>
    </row>
    <row r="31">
      <c r="A31" s="3" t="s">
        <v>17</v>
      </c>
      <c r="B31" s="3" t="s">
        <v>98</v>
      </c>
      <c r="C31" s="3" t="s">
        <v>99</v>
      </c>
      <c r="D31" s="6" t="s">
        <v>107</v>
      </c>
      <c r="E31" s="9">
        <v>46240.69739583333</v>
      </c>
    </row>
    <row r="32">
      <c r="A32" s="3" t="s">
        <v>17</v>
      </c>
      <c r="B32" s="3" t="s">
        <v>98</v>
      </c>
      <c r="C32" s="3" t="s">
        <v>99</v>
      </c>
      <c r="D32" s="6" t="s">
        <v>110</v>
      </c>
      <c r="E32" s="9">
        <v>46240.699467592596</v>
      </c>
    </row>
    <row r="33">
      <c r="A33" s="3" t="s">
        <v>17</v>
      </c>
      <c r="B33" s="3" t="s">
        <v>98</v>
      </c>
      <c r="C33" s="3" t="s">
        <v>99</v>
      </c>
      <c r="D33" s="6" t="s">
        <v>111</v>
      </c>
      <c r="E33" s="9">
        <v>46240.70153935185</v>
      </c>
    </row>
    <row r="34">
      <c r="A34" s="3" t="s">
        <v>17</v>
      </c>
      <c r="B34" s="3" t="s">
        <v>98</v>
      </c>
      <c r="C34" s="3" t="s">
        <v>99</v>
      </c>
      <c r="D34" s="6" t="s">
        <v>112</v>
      </c>
      <c r="E34" s="9">
        <v>46240.70361111111</v>
      </c>
    </row>
    <row r="35">
      <c r="A35" s="3" t="s">
        <v>17</v>
      </c>
      <c r="B35" s="3" t="s">
        <v>98</v>
      </c>
      <c r="C35" s="3" t="s">
        <v>99</v>
      </c>
      <c r="D35" s="6" t="s">
        <v>113</v>
      </c>
      <c r="E35" s="9">
        <v>46240.70392361111</v>
      </c>
    </row>
    <row r="36">
      <c r="A36" s="3" t="s">
        <v>17</v>
      </c>
      <c r="B36" s="3" t="s">
        <v>25</v>
      </c>
      <c r="C36" s="3" t="s">
        <v>26</v>
      </c>
      <c r="D36" s="6" t="s">
        <v>114</v>
      </c>
      <c r="E36" s="9">
        <v>46240.924097222225</v>
      </c>
    </row>
    <row r="37">
      <c r="A37" s="3" t="s">
        <v>17</v>
      </c>
      <c r="B37" s="3" t="s">
        <v>25</v>
      </c>
      <c r="C37" s="3" t="s">
        <v>26</v>
      </c>
      <c r="D37" s="6" t="s">
        <v>115</v>
      </c>
      <c r="E37" s="9">
        <v>46240.92982638889</v>
      </c>
    </row>
    <row r="38">
      <c r="A38" s="3" t="s">
        <v>17</v>
      </c>
      <c r="B38" s="3" t="s">
        <v>25</v>
      </c>
      <c r="C38" s="3" t="s">
        <v>26</v>
      </c>
      <c r="D38" s="6" t="s">
        <v>116</v>
      </c>
      <c r="E38" s="9">
        <v>46240.93137731482</v>
      </c>
    </row>
    <row r="39">
      <c r="A39" s="3" t="s">
        <v>17</v>
      </c>
      <c r="B39" s="3" t="s">
        <v>25</v>
      </c>
      <c r="C39" s="3" t="s">
        <v>26</v>
      </c>
      <c r="D39" s="6" t="s">
        <v>117</v>
      </c>
      <c r="E39" s="9">
        <v>46240.93189814815</v>
      </c>
    </row>
    <row r="40">
      <c r="A40" s="3" t="s">
        <v>17</v>
      </c>
      <c r="B40" s="3" t="s">
        <v>25</v>
      </c>
      <c r="C40" s="3" t="s">
        <v>26</v>
      </c>
      <c r="D40" s="6" t="s">
        <v>118</v>
      </c>
      <c r="E40" s="9">
        <v>46240.934641203705</v>
      </c>
    </row>
    <row r="41">
      <c r="A41" s="3" t="s">
        <v>17</v>
      </c>
      <c r="B41" s="3" t="s">
        <v>25</v>
      </c>
      <c r="C41" s="3" t="s">
        <v>26</v>
      </c>
      <c r="D41" s="6" t="s">
        <v>119</v>
      </c>
      <c r="E41" s="9">
        <v>46240.93672453704</v>
      </c>
    </row>
    <row r="42">
      <c r="A42" s="3" t="s">
        <v>17</v>
      </c>
      <c r="B42" s="3" t="s">
        <v>25</v>
      </c>
      <c r="C42" s="3" t="s">
        <v>26</v>
      </c>
      <c r="D42" s="6" t="s">
        <v>120</v>
      </c>
      <c r="E42" s="9">
        <v>46240.93880787037</v>
      </c>
    </row>
    <row r="43">
      <c r="A43" s="3" t="s">
        <v>17</v>
      </c>
      <c r="B43" s="3" t="s">
        <v>25</v>
      </c>
      <c r="C43" s="3" t="s">
        <v>26</v>
      </c>
      <c r="D43" s="6" t="s">
        <v>111</v>
      </c>
      <c r="E43" s="9">
        <v>46240.94019675926</v>
      </c>
    </row>
    <row r="44">
      <c r="A44" s="3" t="s">
        <v>17</v>
      </c>
      <c r="B44" s="3" t="s">
        <v>25</v>
      </c>
      <c r="C44" s="3" t="s">
        <v>26</v>
      </c>
      <c r="D44" s="6" t="s">
        <v>121</v>
      </c>
      <c r="E44" s="9">
        <v>46240.94228009259</v>
      </c>
    </row>
    <row r="45">
      <c r="A45" s="3" t="s">
        <v>17</v>
      </c>
      <c r="B45" s="3" t="s">
        <v>25</v>
      </c>
      <c r="C45" s="3" t="s">
        <v>26</v>
      </c>
      <c r="D45" s="6" t="s">
        <v>122</v>
      </c>
      <c r="E45" s="9">
        <v>46240.944085648145</v>
      </c>
    </row>
    <row r="46">
      <c r="A46" s="3" t="s">
        <v>17</v>
      </c>
      <c r="B46" s="3" t="s">
        <v>25</v>
      </c>
      <c r="C46" s="3" t="s">
        <v>26</v>
      </c>
      <c r="D46" s="6" t="s">
        <v>123</v>
      </c>
      <c r="E46" s="9">
        <v>46240.94425925926</v>
      </c>
    </row>
    <row r="47">
      <c r="A47" s="3" t="s">
        <v>17</v>
      </c>
      <c r="B47" s="3" t="s">
        <v>25</v>
      </c>
      <c r="C47" s="3" t="s">
        <v>26</v>
      </c>
      <c r="D47" s="6" t="s">
        <v>124</v>
      </c>
      <c r="E47" s="9">
        <v>46240.94436342592</v>
      </c>
    </row>
    <row r="48">
      <c r="A48" s="3" t="s">
        <v>17</v>
      </c>
      <c r="B48" s="3" t="s">
        <v>25</v>
      </c>
      <c r="C48" s="3" t="s">
        <v>26</v>
      </c>
      <c r="D48" s="6" t="s">
        <v>125</v>
      </c>
      <c r="E48" s="9">
        <v>46240.95061342593</v>
      </c>
    </row>
    <row r="49">
      <c r="A49" s="3" t="s">
        <v>17</v>
      </c>
      <c r="B49" s="3" t="s">
        <v>25</v>
      </c>
      <c r="C49" s="3" t="s">
        <v>26</v>
      </c>
      <c r="D49" s="6" t="s">
        <v>126</v>
      </c>
      <c r="E49" s="9">
        <v>46240.95269675926</v>
      </c>
    </row>
    <row r="50">
      <c r="A50" s="3" t="s">
        <v>17</v>
      </c>
      <c r="B50" s="3" t="s">
        <v>25</v>
      </c>
      <c r="C50" s="3" t="s">
        <v>26</v>
      </c>
      <c r="D50" s="6" t="s">
        <v>128</v>
      </c>
      <c r="E50" s="9">
        <v>46240.954780092594</v>
      </c>
    </row>
    <row r="51">
      <c r="A51" s="3" t="s">
        <v>17</v>
      </c>
      <c r="B51" s="3" t="s">
        <v>25</v>
      </c>
      <c r="C51" s="3" t="s">
        <v>26</v>
      </c>
      <c r="D51" s="6" t="s">
        <v>130</v>
      </c>
      <c r="E51" s="9">
        <v>46240.95663194444</v>
      </c>
    </row>
    <row r="52">
      <c r="A52" s="3" t="s">
        <v>17</v>
      </c>
      <c r="B52" s="3" t="s">
        <v>25</v>
      </c>
      <c r="C52" s="3" t="s">
        <v>26</v>
      </c>
      <c r="D52" s="6" t="s">
        <v>133</v>
      </c>
      <c r="E52" s="9">
        <v>46240.95680555556</v>
      </c>
    </row>
    <row r="53">
      <c r="A53" s="3" t="s">
        <v>17</v>
      </c>
      <c r="B53" s="3" t="s">
        <v>98</v>
      </c>
      <c r="C53" s="3" t="s">
        <v>99</v>
      </c>
      <c r="D53" s="6" t="s">
        <v>134</v>
      </c>
      <c r="E53" s="9">
        <v>46240.961689814816</v>
      </c>
    </row>
    <row r="54">
      <c r="A54" s="3" t="s">
        <v>17</v>
      </c>
      <c r="B54" s="3" t="s">
        <v>98</v>
      </c>
      <c r="C54" s="3" t="s">
        <v>99</v>
      </c>
      <c r="D54" s="6" t="s">
        <v>137</v>
      </c>
      <c r="E54" s="9">
        <v>46240.96175925926</v>
      </c>
    </row>
    <row r="55">
      <c r="A55" s="3" t="s">
        <v>17</v>
      </c>
      <c r="B55" s="3" t="s">
        <v>98</v>
      </c>
      <c r="C55" s="3" t="s">
        <v>99</v>
      </c>
      <c r="D55" s="6" t="s">
        <v>103</v>
      </c>
      <c r="E55" s="9">
        <v>46240.96864583333</v>
      </c>
    </row>
    <row r="56">
      <c r="A56" s="3" t="s">
        <v>17</v>
      </c>
      <c r="B56" s="3" t="s">
        <v>98</v>
      </c>
      <c r="C56" s="3" t="s">
        <v>99</v>
      </c>
      <c r="D56" s="6" t="s">
        <v>140</v>
      </c>
      <c r="E56" s="9">
        <v>46240.96907407408</v>
      </c>
    </row>
    <row r="57">
      <c r="A57" s="3" t="s">
        <v>17</v>
      </c>
      <c r="B57" s="3" t="s">
        <v>98</v>
      </c>
      <c r="C57" s="3" t="s">
        <v>99</v>
      </c>
      <c r="D57" s="6" t="s">
        <v>117</v>
      </c>
      <c r="E57" s="9">
        <v>46240.97361111111</v>
      </c>
    </row>
    <row r="58">
      <c r="A58" s="3" t="s">
        <v>17</v>
      </c>
      <c r="B58" s="3" t="s">
        <v>98</v>
      </c>
      <c r="C58" s="3" t="s">
        <v>99</v>
      </c>
      <c r="D58" s="6" t="s">
        <v>144</v>
      </c>
      <c r="E58" s="9">
        <v>46240.9777662037</v>
      </c>
    </row>
    <row r="59">
      <c r="A59" s="3" t="s">
        <v>17</v>
      </c>
      <c r="B59" s="3" t="s">
        <v>98</v>
      </c>
      <c r="C59" s="3" t="s">
        <v>99</v>
      </c>
      <c r="D59" s="6" t="s">
        <v>146</v>
      </c>
      <c r="E59" s="9">
        <v>46240.98190972222</v>
      </c>
    </row>
    <row r="60">
      <c r="A60" s="3" t="s">
        <v>17</v>
      </c>
      <c r="B60" s="3" t="s">
        <v>98</v>
      </c>
      <c r="C60" s="3" t="s">
        <v>99</v>
      </c>
      <c r="D60" s="6" t="s">
        <v>148</v>
      </c>
      <c r="E60" s="9">
        <v>46240.98605324074</v>
      </c>
    </row>
    <row r="61">
      <c r="A61" s="3" t="s">
        <v>17</v>
      </c>
      <c r="B61" s="3" t="s">
        <v>98</v>
      </c>
      <c r="C61" s="3" t="s">
        <v>99</v>
      </c>
      <c r="D61" s="6" t="s">
        <v>111</v>
      </c>
      <c r="E61" s="9">
        <v>46240.990208333336</v>
      </c>
    </row>
    <row r="62">
      <c r="A62" s="3" t="s">
        <v>17</v>
      </c>
      <c r="B62" s="3" t="s">
        <v>98</v>
      </c>
      <c r="C62" s="3" t="s">
        <v>99</v>
      </c>
      <c r="D62" s="6" t="s">
        <v>112</v>
      </c>
      <c r="E62" s="9">
        <v>46240.99435185185</v>
      </c>
    </row>
    <row r="63">
      <c r="A63" s="3" t="s">
        <v>17</v>
      </c>
      <c r="B63" s="3" t="s">
        <v>98</v>
      </c>
      <c r="C63" s="3" t="s">
        <v>99</v>
      </c>
      <c r="D63" s="6" t="s">
        <v>151</v>
      </c>
      <c r="E63" s="9">
        <v>46240.99849537037</v>
      </c>
    </row>
    <row r="64">
      <c r="A64" s="3" t="s">
        <v>17</v>
      </c>
      <c r="B64" s="3" t="s">
        <v>98</v>
      </c>
      <c r="C64" s="3" t="s">
        <v>99</v>
      </c>
      <c r="D64" s="6" t="s">
        <v>153</v>
      </c>
      <c r="E64" s="9">
        <v>46271.002650462964</v>
      </c>
    </row>
    <row r="65">
      <c r="A65" s="3" t="s">
        <v>17</v>
      </c>
      <c r="B65" s="3" t="s">
        <v>98</v>
      </c>
      <c r="C65" s="3" t="s">
        <v>99</v>
      </c>
      <c r="D65" s="6" t="s">
        <v>155</v>
      </c>
      <c r="E65" s="9">
        <v>46271.004525462966</v>
      </c>
    </row>
    <row r="66">
      <c r="A66" s="3" t="s">
        <v>17</v>
      </c>
      <c r="B66" s="3" t="s">
        <v>98</v>
      </c>
      <c r="C66" s="3" t="s">
        <v>99</v>
      </c>
      <c r="D66" s="6" t="s">
        <v>156</v>
      </c>
      <c r="E66" s="9">
        <v>46271.00487268518</v>
      </c>
    </row>
    <row r="67">
      <c r="A67" s="3" t="s">
        <v>17</v>
      </c>
      <c r="B67" s="3" t="s">
        <v>35</v>
      </c>
      <c r="C67" s="3" t="s">
        <v>36</v>
      </c>
      <c r="D67" s="6" t="s">
        <v>117</v>
      </c>
      <c r="E67" s="9">
        <v>46271.546435185184</v>
      </c>
    </row>
    <row r="68">
      <c r="A68" s="3" t="s">
        <v>17</v>
      </c>
      <c r="B68" s="3" t="s">
        <v>35</v>
      </c>
      <c r="C68" s="3" t="s">
        <v>36</v>
      </c>
      <c r="D68" s="6" t="s">
        <v>144</v>
      </c>
      <c r="E68" s="9">
        <v>46271.55059027778</v>
      </c>
    </row>
    <row r="69">
      <c r="A69" s="3" t="s">
        <v>17</v>
      </c>
      <c r="B69" s="3" t="s">
        <v>35</v>
      </c>
      <c r="C69" s="3" t="s">
        <v>36</v>
      </c>
      <c r="D69" s="6" t="s">
        <v>158</v>
      </c>
      <c r="E69" s="9">
        <v>46271.550729166665</v>
      </c>
    </row>
    <row r="70">
      <c r="A70" s="3" t="s">
        <v>17</v>
      </c>
      <c r="B70" s="3" t="s">
        <v>35</v>
      </c>
      <c r="C70" s="3" t="s">
        <v>36</v>
      </c>
      <c r="D70" s="6" t="s">
        <v>159</v>
      </c>
      <c r="E70" s="9">
        <v>46271.55074074074</v>
      </c>
    </row>
    <row r="71">
      <c r="A71" s="3" t="s">
        <v>17</v>
      </c>
      <c r="B71" s="3" t="s">
        <v>35</v>
      </c>
      <c r="C71" s="3" t="s">
        <v>36</v>
      </c>
      <c r="D71" s="6" t="s">
        <v>146</v>
      </c>
      <c r="E71" s="9">
        <v>46271.5558912037</v>
      </c>
    </row>
    <row r="72">
      <c r="A72" s="3" t="s">
        <v>17</v>
      </c>
      <c r="B72" s="3" t="s">
        <v>35</v>
      </c>
      <c r="C72" s="3" t="s">
        <v>36</v>
      </c>
      <c r="D72" s="6" t="s">
        <v>148</v>
      </c>
      <c r="E72" s="9">
        <v>46271.56003472222</v>
      </c>
    </row>
    <row r="73">
      <c r="A73" s="3" t="s">
        <v>17</v>
      </c>
      <c r="B73" s="3" t="s">
        <v>35</v>
      </c>
      <c r="C73" s="3" t="s">
        <v>36</v>
      </c>
      <c r="D73" s="6" t="s">
        <v>161</v>
      </c>
      <c r="E73" s="9">
        <v>46271.56422453704</v>
      </c>
    </row>
    <row r="74">
      <c r="A74" s="3" t="s">
        <v>17</v>
      </c>
      <c r="B74" s="3" t="s">
        <v>35</v>
      </c>
      <c r="C74" s="3" t="s">
        <v>36</v>
      </c>
      <c r="D74" s="6" t="s">
        <v>111</v>
      </c>
      <c r="E74" s="9">
        <v>46271.56484953704</v>
      </c>
    </row>
    <row r="75">
      <c r="A75" s="3" t="s">
        <v>17</v>
      </c>
      <c r="B75" s="3" t="s">
        <v>35</v>
      </c>
      <c r="C75" s="3" t="s">
        <v>36</v>
      </c>
      <c r="D75" s="6" t="s">
        <v>112</v>
      </c>
      <c r="E75" s="9">
        <v>46271.56899305555</v>
      </c>
    </row>
    <row r="76">
      <c r="A76" s="3" t="s">
        <v>17</v>
      </c>
      <c r="B76" s="3" t="s">
        <v>35</v>
      </c>
      <c r="C76" s="3" t="s">
        <v>36</v>
      </c>
      <c r="D76" s="6" t="s">
        <v>151</v>
      </c>
      <c r="E76" s="9">
        <v>46271.57313657407</v>
      </c>
    </row>
    <row r="77">
      <c r="A77" s="3" t="s">
        <v>17</v>
      </c>
      <c r="B77" s="3" t="s">
        <v>35</v>
      </c>
      <c r="C77" s="3" t="s">
        <v>36</v>
      </c>
      <c r="D77" s="6" t="s">
        <v>166</v>
      </c>
      <c r="E77" s="9">
        <v>46271.57608796296</v>
      </c>
    </row>
    <row r="78">
      <c r="A78" s="3" t="s">
        <v>17</v>
      </c>
      <c r="B78" s="3" t="s">
        <v>35</v>
      </c>
      <c r="C78" s="3" t="s">
        <v>36</v>
      </c>
      <c r="D78" s="6" t="s">
        <v>117</v>
      </c>
      <c r="E78" s="7">
        <v>46271.76346064815</v>
      </c>
    </row>
    <row r="79">
      <c r="A79" s="3" t="s">
        <v>17</v>
      </c>
      <c r="B79" s="3" t="s">
        <v>43</v>
      </c>
      <c r="C79" s="3" t="s">
        <v>44</v>
      </c>
      <c r="D79" s="6" t="s">
        <v>167</v>
      </c>
      <c r="E79" s="7">
        <v>46182.437569444446</v>
      </c>
    </row>
    <row r="80">
      <c r="A80" s="3" t="s">
        <v>17</v>
      </c>
      <c r="B80" s="3" t="s">
        <v>35</v>
      </c>
      <c r="C80" s="3" t="s">
        <v>36</v>
      </c>
      <c r="D80" s="6" t="s">
        <v>168</v>
      </c>
      <c r="E80" s="7">
        <v>46271.771053240744</v>
      </c>
    </row>
    <row r="81">
      <c r="A81" s="3" t="s">
        <v>17</v>
      </c>
      <c r="B81" s="3" t="s">
        <v>43</v>
      </c>
      <c r="C81" s="3" t="s">
        <v>44</v>
      </c>
      <c r="D81" s="6" t="s">
        <v>169</v>
      </c>
      <c r="E81" s="7">
        <v>46182.44005787037</v>
      </c>
    </row>
    <row r="82">
      <c r="A82" s="3" t="s">
        <v>17</v>
      </c>
      <c r="B82" s="3" t="s">
        <v>43</v>
      </c>
      <c r="C82" s="3" t="s">
        <v>44</v>
      </c>
      <c r="D82" s="6" t="s">
        <v>170</v>
      </c>
      <c r="E82" s="7">
        <v>46182.442141203705</v>
      </c>
    </row>
    <row r="83">
      <c r="A83" s="3" t="s">
        <v>17</v>
      </c>
      <c r="B83" s="3" t="s">
        <v>43</v>
      </c>
      <c r="C83" s="3" t="s">
        <v>44</v>
      </c>
      <c r="D83" s="6" t="s">
        <v>171</v>
      </c>
      <c r="E83" s="7">
        <v>46182.44422453704</v>
      </c>
    </row>
    <row r="84">
      <c r="A84" s="3" t="s">
        <v>17</v>
      </c>
      <c r="B84" s="3" t="s">
        <v>43</v>
      </c>
      <c r="C84" s="3" t="s">
        <v>44</v>
      </c>
      <c r="D84" s="6" t="s">
        <v>172</v>
      </c>
      <c r="E84" s="7">
        <v>46182.44630787037</v>
      </c>
    </row>
    <row r="85">
      <c r="A85" s="3" t="s">
        <v>17</v>
      </c>
      <c r="B85" s="3" t="s">
        <v>43</v>
      </c>
      <c r="C85" s="3" t="s">
        <v>44</v>
      </c>
      <c r="D85" s="6" t="s">
        <v>173</v>
      </c>
      <c r="E85" s="7">
        <v>46182.44795138889</v>
      </c>
    </row>
    <row r="86">
      <c r="A86" s="3" t="s">
        <v>17</v>
      </c>
      <c r="B86" s="3" t="s">
        <v>43</v>
      </c>
      <c r="C86" s="3" t="s">
        <v>44</v>
      </c>
      <c r="D86" s="6" t="s">
        <v>174</v>
      </c>
      <c r="E86" s="7">
        <v>46182.44804398148</v>
      </c>
    </row>
    <row r="87">
      <c r="A87" s="3" t="s">
        <v>17</v>
      </c>
      <c r="B87" s="3" t="s">
        <v>43</v>
      </c>
      <c r="C87" s="3" t="s">
        <v>44</v>
      </c>
      <c r="D87" s="6" t="s">
        <v>175</v>
      </c>
      <c r="E87" s="7">
        <v>46182.44850694444</v>
      </c>
    </row>
    <row r="88">
      <c r="A88" s="3" t="s">
        <v>17</v>
      </c>
      <c r="B88" s="3" t="s">
        <v>43</v>
      </c>
      <c r="C88" s="3" t="s">
        <v>44</v>
      </c>
      <c r="D88" s="6" t="s">
        <v>177</v>
      </c>
      <c r="E88" s="7">
        <v>46182.44898148148</v>
      </c>
    </row>
    <row r="89">
      <c r="A89" s="3" t="s">
        <v>17</v>
      </c>
      <c r="B89" s="3" t="s">
        <v>43</v>
      </c>
      <c r="C89" s="3" t="s">
        <v>44</v>
      </c>
      <c r="D89" s="6" t="s">
        <v>179</v>
      </c>
      <c r="E89" s="7">
        <v>46182.449953703705</v>
      </c>
    </row>
    <row r="90">
      <c r="A90" s="3" t="s">
        <v>17</v>
      </c>
      <c r="B90" s="3" t="s">
        <v>43</v>
      </c>
      <c r="C90" s="3" t="s">
        <v>44</v>
      </c>
      <c r="D90" s="6" t="s">
        <v>180</v>
      </c>
      <c r="E90" s="7">
        <v>46182.450532407405</v>
      </c>
    </row>
    <row r="91">
      <c r="A91" s="3" t="s">
        <v>17</v>
      </c>
      <c r="B91" s="3" t="s">
        <v>43</v>
      </c>
      <c r="C91" s="3" t="s">
        <v>44</v>
      </c>
      <c r="D91" s="6" t="s">
        <v>181</v>
      </c>
      <c r="E91" s="7">
        <v>46182.45077546296</v>
      </c>
    </row>
    <row r="92">
      <c r="A92" s="3" t="s">
        <v>17</v>
      </c>
      <c r="B92" s="3" t="s">
        <v>43</v>
      </c>
      <c r="C92" s="3" t="s">
        <v>44</v>
      </c>
      <c r="D92" s="6" t="s">
        <v>182</v>
      </c>
      <c r="E92" s="7">
        <v>46182.45354166667</v>
      </c>
    </row>
    <row r="93">
      <c r="A93" s="3" t="s">
        <v>17</v>
      </c>
      <c r="B93" s="3" t="s">
        <v>43</v>
      </c>
      <c r="C93" s="3" t="s">
        <v>44</v>
      </c>
      <c r="D93" s="6" t="s">
        <v>183</v>
      </c>
      <c r="E93" s="7">
        <v>46182.453935185185</v>
      </c>
    </row>
    <row r="94">
      <c r="A94" s="3" t="s">
        <v>17</v>
      </c>
      <c r="B94" s="3" t="s">
        <v>43</v>
      </c>
      <c r="C94" s="3" t="s">
        <v>44</v>
      </c>
      <c r="D94" s="6" t="s">
        <v>185</v>
      </c>
      <c r="E94" s="7">
        <v>46182.454675925925</v>
      </c>
    </row>
    <row r="95">
      <c r="A95" s="3" t="s">
        <v>17</v>
      </c>
      <c r="B95" s="3" t="s">
        <v>43</v>
      </c>
      <c r="C95" s="3" t="s">
        <v>44</v>
      </c>
      <c r="D95" s="6" t="s">
        <v>186</v>
      </c>
      <c r="E95" s="7">
        <v>46182.455925925926</v>
      </c>
    </row>
    <row r="96">
      <c r="A96" s="3" t="s">
        <v>17</v>
      </c>
      <c r="B96" s="3" t="s">
        <v>43</v>
      </c>
      <c r="C96" s="3" t="s">
        <v>44</v>
      </c>
      <c r="D96" s="6" t="s">
        <v>188</v>
      </c>
      <c r="E96" s="7">
        <v>46182.45824074074</v>
      </c>
    </row>
    <row r="97">
      <c r="A97" s="3" t="s">
        <v>17</v>
      </c>
      <c r="B97" s="3" t="s">
        <v>43</v>
      </c>
      <c r="C97" s="3" t="s">
        <v>44</v>
      </c>
      <c r="D97" s="6" t="s">
        <v>130</v>
      </c>
      <c r="E97" s="7">
        <v>46182.46097222222</v>
      </c>
    </row>
    <row r="98">
      <c r="A98" s="3" t="s">
        <v>17</v>
      </c>
      <c r="B98" s="3" t="s">
        <v>35</v>
      </c>
      <c r="C98" s="3" t="s">
        <v>36</v>
      </c>
      <c r="D98" s="6" t="s">
        <v>189</v>
      </c>
      <c r="E98" s="7">
        <v>46271.81528935185</v>
      </c>
    </row>
    <row r="99">
      <c r="A99" s="3" t="s">
        <v>17</v>
      </c>
      <c r="B99" s="3" t="s">
        <v>25</v>
      </c>
      <c r="C99" s="3" t="s">
        <v>26</v>
      </c>
      <c r="D99" s="6" t="s">
        <v>191</v>
      </c>
      <c r="E99" s="9">
        <v>46271.466365740744</v>
      </c>
    </row>
    <row r="100">
      <c r="A100" s="3" t="s">
        <v>17</v>
      </c>
      <c r="B100" s="3" t="s">
        <v>25</v>
      </c>
      <c r="C100" s="3" t="s">
        <v>26</v>
      </c>
      <c r="D100" s="6" t="s">
        <v>103</v>
      </c>
      <c r="E100" s="9">
        <v>46271.46891203704</v>
      </c>
    </row>
    <row r="101">
      <c r="A101" s="3" t="s">
        <v>17</v>
      </c>
      <c r="B101" s="3" t="s">
        <v>25</v>
      </c>
      <c r="C101" s="3" t="s">
        <v>26</v>
      </c>
      <c r="D101" s="6" t="s">
        <v>144</v>
      </c>
      <c r="E101" s="9">
        <v>46271.470983796295</v>
      </c>
    </row>
    <row r="102">
      <c r="A102" s="3" t="s">
        <v>17</v>
      </c>
      <c r="B102" s="3" t="s">
        <v>25</v>
      </c>
      <c r="C102" s="3" t="s">
        <v>26</v>
      </c>
      <c r="D102" s="6" t="s">
        <v>146</v>
      </c>
      <c r="E102" s="9">
        <v>46271.47305555556</v>
      </c>
    </row>
    <row r="103">
      <c r="A103" s="3" t="s">
        <v>17</v>
      </c>
      <c r="B103" s="3" t="s">
        <v>25</v>
      </c>
      <c r="C103" s="3" t="s">
        <v>26</v>
      </c>
      <c r="D103" s="6" t="s">
        <v>148</v>
      </c>
      <c r="E103" s="9">
        <v>46271.475127314814</v>
      </c>
    </row>
    <row r="104">
      <c r="A104" s="3" t="s">
        <v>17</v>
      </c>
      <c r="B104" s="3" t="s">
        <v>25</v>
      </c>
      <c r="C104" s="3" t="s">
        <v>26</v>
      </c>
      <c r="D104" s="6" t="s">
        <v>174</v>
      </c>
      <c r="E104" s="9">
        <v>46271.47719907408</v>
      </c>
    </row>
    <row r="105">
      <c r="A105" s="3" t="s">
        <v>17</v>
      </c>
      <c r="B105" s="3" t="s">
        <v>25</v>
      </c>
      <c r="C105" s="3" t="s">
        <v>26</v>
      </c>
      <c r="D105" s="6" t="s">
        <v>181</v>
      </c>
      <c r="E105" s="9">
        <v>46271.47928240741</v>
      </c>
    </row>
    <row r="106">
      <c r="A106" s="3" t="s">
        <v>17</v>
      </c>
      <c r="B106" s="3" t="s">
        <v>25</v>
      </c>
      <c r="C106" s="3" t="s">
        <v>26</v>
      </c>
      <c r="D106" s="6" t="s">
        <v>182</v>
      </c>
      <c r="E106" s="9">
        <v>46271.481354166666</v>
      </c>
    </row>
    <row r="107">
      <c r="A107" s="3" t="s">
        <v>17</v>
      </c>
      <c r="B107" s="3" t="s">
        <v>25</v>
      </c>
      <c r="C107" s="3" t="s">
        <v>26</v>
      </c>
      <c r="D107" s="6" t="s">
        <v>153</v>
      </c>
      <c r="E107" s="9">
        <v>46271.48342592592</v>
      </c>
    </row>
    <row r="108">
      <c r="A108" s="3" t="s">
        <v>17</v>
      </c>
      <c r="B108" s="3" t="s">
        <v>25</v>
      </c>
      <c r="C108" s="3" t="s">
        <v>26</v>
      </c>
      <c r="D108" s="6" t="s">
        <v>202</v>
      </c>
      <c r="E108" s="9">
        <v>46271.485497685186</v>
      </c>
    </row>
    <row r="109">
      <c r="A109" s="3" t="s">
        <v>17</v>
      </c>
      <c r="B109" s="3" t="s">
        <v>25</v>
      </c>
      <c r="C109" s="3" t="s">
        <v>26</v>
      </c>
      <c r="D109" s="6" t="s">
        <v>130</v>
      </c>
      <c r="E109" s="9">
        <v>46271.48755787037</v>
      </c>
    </row>
    <row r="110">
      <c r="A110" s="3" t="s">
        <v>17</v>
      </c>
      <c r="B110" s="3" t="s">
        <v>25</v>
      </c>
      <c r="C110" s="3" t="s">
        <v>26</v>
      </c>
      <c r="D110" s="6" t="s">
        <v>206</v>
      </c>
      <c r="E110" s="9">
        <v>46271.49961805555</v>
      </c>
    </row>
    <row r="111">
      <c r="A111" s="3" t="s">
        <v>17</v>
      </c>
      <c r="B111" s="3" t="s">
        <v>43</v>
      </c>
      <c r="C111" s="3" t="s">
        <v>44</v>
      </c>
      <c r="D111" s="6" t="s">
        <v>206</v>
      </c>
      <c r="E111" s="7">
        <v>46182.64045138889</v>
      </c>
    </row>
    <row r="112">
      <c r="A112" s="3" t="s">
        <v>17</v>
      </c>
      <c r="B112" s="3" t="s">
        <v>35</v>
      </c>
      <c r="C112" s="3" t="s">
        <v>36</v>
      </c>
      <c r="D112" s="6" t="s">
        <v>210</v>
      </c>
      <c r="E112" s="7">
        <v>46182.85291666666</v>
      </c>
    </row>
    <row r="113">
      <c r="A113" s="3" t="s">
        <v>17</v>
      </c>
      <c r="B113" s="3" t="s">
        <v>35</v>
      </c>
      <c r="C113" s="3" t="s">
        <v>36</v>
      </c>
      <c r="D113" s="6" t="s">
        <v>68</v>
      </c>
      <c r="E113" s="7">
        <v>46182.85320601852</v>
      </c>
    </row>
    <row r="114">
      <c r="A114" s="3" t="s">
        <v>17</v>
      </c>
      <c r="B114" s="3" t="s">
        <v>35</v>
      </c>
      <c r="C114" s="3" t="s">
        <v>36</v>
      </c>
      <c r="D114" s="6" t="s">
        <v>116</v>
      </c>
      <c r="E114" s="7">
        <v>46182.85334490741</v>
      </c>
    </row>
    <row r="115">
      <c r="A115" s="3" t="s">
        <v>17</v>
      </c>
      <c r="B115" s="3" t="s">
        <v>35</v>
      </c>
      <c r="C115" s="3" t="s">
        <v>36</v>
      </c>
      <c r="D115" s="6" t="s">
        <v>213</v>
      </c>
      <c r="E115" s="7">
        <v>46182.85358796296</v>
      </c>
    </row>
    <row r="116">
      <c r="A116" s="3" t="s">
        <v>17</v>
      </c>
      <c r="B116" s="3" t="s">
        <v>35</v>
      </c>
      <c r="C116" s="3" t="s">
        <v>36</v>
      </c>
      <c r="D116" s="6" t="s">
        <v>81</v>
      </c>
      <c r="E116" s="7">
        <v>46182.85383101852</v>
      </c>
    </row>
    <row r="117">
      <c r="A117" s="3" t="s">
        <v>17</v>
      </c>
      <c r="B117" s="3" t="s">
        <v>35</v>
      </c>
      <c r="C117" s="3" t="s">
        <v>36</v>
      </c>
      <c r="D117" s="6" t="s">
        <v>217</v>
      </c>
      <c r="E117" s="7">
        <v>46182.85407407407</v>
      </c>
    </row>
    <row r="118">
      <c r="A118" s="3" t="s">
        <v>17</v>
      </c>
      <c r="B118" s="3" t="s">
        <v>35</v>
      </c>
      <c r="C118" s="3" t="s">
        <v>36</v>
      </c>
      <c r="D118" s="6" t="s">
        <v>220</v>
      </c>
      <c r="E118" s="7">
        <v>46182.85465277778</v>
      </c>
    </row>
    <row r="119">
      <c r="A119" s="3" t="s">
        <v>17</v>
      </c>
      <c r="B119" s="3" t="s">
        <v>35</v>
      </c>
      <c r="C119" s="3" t="s">
        <v>36</v>
      </c>
      <c r="D119" s="6" t="s">
        <v>103</v>
      </c>
      <c r="E119" s="25">
        <v>46301.472291666665</v>
      </c>
    </row>
    <row r="120">
      <c r="A120" s="3" t="s">
        <v>17</v>
      </c>
      <c r="B120" s="3" t="s">
        <v>35</v>
      </c>
      <c r="C120" s="3" t="s">
        <v>36</v>
      </c>
      <c r="D120" s="6" t="s">
        <v>144</v>
      </c>
      <c r="E120" s="25">
        <v>46301.476435185185</v>
      </c>
    </row>
    <row r="121">
      <c r="A121" s="3" t="s">
        <v>17</v>
      </c>
      <c r="B121" s="3" t="s">
        <v>35</v>
      </c>
      <c r="C121" s="3" t="s">
        <v>36</v>
      </c>
      <c r="D121" s="6" t="s">
        <v>146</v>
      </c>
      <c r="E121" s="25">
        <v>46301.480578703704</v>
      </c>
    </row>
    <row r="122">
      <c r="A122" s="3" t="s">
        <v>17</v>
      </c>
      <c r="B122" s="3" t="s">
        <v>35</v>
      </c>
      <c r="C122" s="3" t="s">
        <v>36</v>
      </c>
      <c r="D122" s="6" t="s">
        <v>110</v>
      </c>
      <c r="E122" s="25">
        <v>46301.48473379629</v>
      </c>
    </row>
    <row r="123">
      <c r="A123" s="3" t="s">
        <v>17</v>
      </c>
      <c r="B123" s="3" t="s">
        <v>35</v>
      </c>
      <c r="C123" s="3" t="s">
        <v>36</v>
      </c>
      <c r="D123" s="6" t="s">
        <v>111</v>
      </c>
      <c r="E123" s="25">
        <v>46301.48887731481</v>
      </c>
    </row>
    <row r="124">
      <c r="A124" s="3" t="s">
        <v>17</v>
      </c>
      <c r="B124" s="3" t="s">
        <v>35</v>
      </c>
      <c r="C124" s="3" t="s">
        <v>36</v>
      </c>
      <c r="D124" s="6" t="s">
        <v>112</v>
      </c>
      <c r="E124" s="25">
        <v>46301.49302083333</v>
      </c>
    </row>
    <row r="125">
      <c r="A125" s="3" t="s">
        <v>17</v>
      </c>
      <c r="B125" s="3" t="s">
        <v>35</v>
      </c>
      <c r="C125" s="3" t="s">
        <v>36</v>
      </c>
      <c r="D125" s="6" t="s">
        <v>182</v>
      </c>
      <c r="E125" s="25">
        <v>46301.49717592593</v>
      </c>
    </row>
    <row r="126">
      <c r="A126" s="3" t="s">
        <v>17</v>
      </c>
      <c r="B126" s="3" t="s">
        <v>35</v>
      </c>
      <c r="C126" s="3" t="s">
        <v>36</v>
      </c>
      <c r="D126" s="6" t="s">
        <v>153</v>
      </c>
      <c r="E126" s="25">
        <v>46301.50131944445</v>
      </c>
    </row>
    <row r="127">
      <c r="A127" s="3" t="s">
        <v>17</v>
      </c>
      <c r="B127" s="3" t="s">
        <v>35</v>
      </c>
      <c r="C127" s="3" t="s">
        <v>36</v>
      </c>
      <c r="D127" s="6" t="s">
        <v>242</v>
      </c>
      <c r="E127" s="25">
        <v>46301.50445601852</v>
      </c>
    </row>
    <row r="128">
      <c r="A128" s="3" t="s">
        <v>17</v>
      </c>
      <c r="B128" s="3" t="s">
        <v>35</v>
      </c>
      <c r="C128" s="3" t="s">
        <v>36</v>
      </c>
      <c r="D128" s="6" t="s">
        <v>243</v>
      </c>
      <c r="E128" s="7">
        <v>46183.30275462963</v>
      </c>
    </row>
    <row r="129">
      <c r="A129" s="3" t="s">
        <v>17</v>
      </c>
      <c r="B129" s="3" t="s">
        <v>35</v>
      </c>
      <c r="C129" s="3" t="s">
        <v>36</v>
      </c>
      <c r="D129" s="6" t="s">
        <v>245</v>
      </c>
      <c r="E129" s="7">
        <v>46301.86002314815</v>
      </c>
    </row>
    <row r="130">
      <c r="A130" s="3" t="s">
        <v>17</v>
      </c>
      <c r="B130" s="3" t="s">
        <v>35</v>
      </c>
      <c r="C130" s="3" t="s">
        <v>36</v>
      </c>
      <c r="D130" s="6" t="s">
        <v>103</v>
      </c>
      <c r="E130" s="7">
        <v>46301.86383101852</v>
      </c>
    </row>
    <row r="131">
      <c r="A131" s="3" t="s">
        <v>17</v>
      </c>
      <c r="B131" s="3" t="s">
        <v>35</v>
      </c>
      <c r="C131" s="3" t="s">
        <v>36</v>
      </c>
      <c r="D131" s="6" t="s">
        <v>105</v>
      </c>
      <c r="E131" s="7">
        <v>46301.86715277778</v>
      </c>
    </row>
    <row r="132">
      <c r="A132" s="3" t="s">
        <v>17</v>
      </c>
      <c r="B132" s="3" t="s">
        <v>35</v>
      </c>
      <c r="C132" s="3" t="s">
        <v>36</v>
      </c>
      <c r="D132" s="6" t="s">
        <v>107</v>
      </c>
      <c r="E132" s="7">
        <v>46301.870474537034</v>
      </c>
    </row>
    <row r="133">
      <c r="A133" s="3" t="s">
        <v>17</v>
      </c>
      <c r="B133" s="3" t="s">
        <v>35</v>
      </c>
      <c r="C133" s="3" t="s">
        <v>36</v>
      </c>
      <c r="D133" s="6" t="s">
        <v>148</v>
      </c>
      <c r="E133" s="7">
        <v>46301.87378472222</v>
      </c>
    </row>
    <row r="134">
      <c r="A134" s="3" t="s">
        <v>17</v>
      </c>
      <c r="B134" s="3" t="s">
        <v>35</v>
      </c>
      <c r="C134" s="3" t="s">
        <v>36</v>
      </c>
      <c r="D134" s="6" t="s">
        <v>174</v>
      </c>
      <c r="E134" s="7">
        <v>46301.87709490741</v>
      </c>
    </row>
    <row r="135">
      <c r="A135" s="3" t="s">
        <v>17</v>
      </c>
      <c r="B135" s="3" t="s">
        <v>35</v>
      </c>
      <c r="C135" s="3" t="s">
        <v>36</v>
      </c>
      <c r="D135" s="6" t="s">
        <v>112</v>
      </c>
      <c r="E135" s="7">
        <v>46301.880428240744</v>
      </c>
    </row>
    <row r="136">
      <c r="A136" s="3" t="s">
        <v>17</v>
      </c>
      <c r="B136" s="3" t="s">
        <v>35</v>
      </c>
      <c r="C136" s="3" t="s">
        <v>36</v>
      </c>
      <c r="D136" s="6" t="s">
        <v>151</v>
      </c>
      <c r="E136" s="7">
        <v>46301.88486111111</v>
      </c>
    </row>
    <row r="137">
      <c r="A137" s="3" t="s">
        <v>17</v>
      </c>
      <c r="B137" s="3" t="s">
        <v>35</v>
      </c>
      <c r="C137" s="3" t="s">
        <v>36</v>
      </c>
      <c r="D137" s="6" t="s">
        <v>153</v>
      </c>
      <c r="E137" s="7">
        <v>46301.88818287037</v>
      </c>
    </row>
    <row r="138">
      <c r="A138" s="3" t="s">
        <v>17</v>
      </c>
      <c r="B138" s="3" t="s">
        <v>35</v>
      </c>
      <c r="C138" s="3" t="s">
        <v>36</v>
      </c>
      <c r="D138" s="6" t="s">
        <v>156</v>
      </c>
      <c r="E138" s="7">
        <v>46301.889236111114</v>
      </c>
    </row>
    <row r="139">
      <c r="A139" s="3" t="s">
        <v>17</v>
      </c>
      <c r="B139" s="3" t="s">
        <v>35</v>
      </c>
      <c r="C139" s="3" t="s">
        <v>36</v>
      </c>
      <c r="D139" s="6" t="s">
        <v>156</v>
      </c>
      <c r="E139" s="7">
        <v>46301.89150462963</v>
      </c>
    </row>
    <row r="140">
      <c r="A140" s="3" t="s">
        <v>17</v>
      </c>
      <c r="B140" s="3" t="s">
        <v>98</v>
      </c>
      <c r="C140" s="3" t="s">
        <v>99</v>
      </c>
      <c r="D140" s="6" t="s">
        <v>156</v>
      </c>
      <c r="E140" s="9">
        <v>46301.735081018516</v>
      </c>
    </row>
    <row r="141">
      <c r="A141" s="3" t="s">
        <v>17</v>
      </c>
      <c r="B141" s="3" t="s">
        <v>35</v>
      </c>
      <c r="C141" s="3" t="s">
        <v>36</v>
      </c>
      <c r="D141" s="6" t="s">
        <v>261</v>
      </c>
      <c r="E141" s="7">
        <v>46183.983125</v>
      </c>
    </row>
    <row r="142">
      <c r="A142" s="3" t="s">
        <v>17</v>
      </c>
      <c r="B142" s="3" t="s">
        <v>35</v>
      </c>
      <c r="C142" s="3" t="s">
        <v>36</v>
      </c>
      <c r="D142" s="6" t="s">
        <v>117</v>
      </c>
      <c r="E142" s="7">
        <v>46183.98732638889</v>
      </c>
    </row>
    <row r="143">
      <c r="A143" s="3" t="s">
        <v>17</v>
      </c>
      <c r="B143" s="3" t="s">
        <v>35</v>
      </c>
      <c r="C143" s="3" t="s">
        <v>36</v>
      </c>
      <c r="D143" s="6" t="s">
        <v>144</v>
      </c>
      <c r="E143" s="7">
        <v>46183.99151620371</v>
      </c>
    </row>
    <row r="144">
      <c r="A144" s="3" t="s">
        <v>17</v>
      </c>
      <c r="B144" s="3" t="s">
        <v>35</v>
      </c>
      <c r="C144" s="3" t="s">
        <v>36</v>
      </c>
      <c r="D144" s="6" t="s">
        <v>146</v>
      </c>
      <c r="E144" s="7">
        <v>46183.99565972222</v>
      </c>
    </row>
    <row r="145">
      <c r="A145" s="3" t="s">
        <v>17</v>
      </c>
      <c r="B145" s="3" t="s">
        <v>35</v>
      </c>
      <c r="C145" s="3" t="s">
        <v>36</v>
      </c>
      <c r="D145" s="6" t="s">
        <v>148</v>
      </c>
      <c r="E145" s="7">
        <v>46183.999814814815</v>
      </c>
    </row>
    <row r="146">
      <c r="A146" s="3" t="s">
        <v>17</v>
      </c>
      <c r="B146" s="3" t="s">
        <v>35</v>
      </c>
      <c r="C146" s="3" t="s">
        <v>36</v>
      </c>
      <c r="D146" s="6" t="s">
        <v>111</v>
      </c>
      <c r="E146" s="7">
        <v>46184.003958333335</v>
      </c>
    </row>
    <row r="147">
      <c r="A147" s="3" t="s">
        <v>17</v>
      </c>
      <c r="B147" s="3" t="s">
        <v>35</v>
      </c>
      <c r="C147" s="3" t="s">
        <v>36</v>
      </c>
      <c r="D147" s="6" t="s">
        <v>112</v>
      </c>
      <c r="E147" s="7">
        <v>46184.00811342592</v>
      </c>
    </row>
    <row r="148">
      <c r="A148" s="3" t="s">
        <v>17</v>
      </c>
      <c r="B148" s="3" t="s">
        <v>35</v>
      </c>
      <c r="C148" s="3" t="s">
        <v>36</v>
      </c>
      <c r="D148" s="6" t="s">
        <v>182</v>
      </c>
      <c r="E148" s="7">
        <v>46184.01225694444</v>
      </c>
    </row>
    <row r="149">
      <c r="A149" s="3" t="s">
        <v>17</v>
      </c>
      <c r="B149" s="3" t="s">
        <v>35</v>
      </c>
      <c r="C149" s="3" t="s">
        <v>36</v>
      </c>
      <c r="D149" s="6" t="s">
        <v>153</v>
      </c>
      <c r="E149" s="7">
        <v>46184.01640046296</v>
      </c>
    </row>
    <row r="150">
      <c r="A150" s="3" t="s">
        <v>17</v>
      </c>
      <c r="B150" s="3" t="s">
        <v>35</v>
      </c>
      <c r="C150" s="3" t="s">
        <v>36</v>
      </c>
      <c r="D150" s="6" t="s">
        <v>202</v>
      </c>
      <c r="E150" s="7">
        <v>46184.02054398148</v>
      </c>
    </row>
    <row r="151">
      <c r="A151" s="3" t="s">
        <v>17</v>
      </c>
      <c r="B151" s="3" t="s">
        <v>35</v>
      </c>
      <c r="C151" s="3" t="s">
        <v>36</v>
      </c>
      <c r="D151" s="6" t="s">
        <v>130</v>
      </c>
      <c r="E151" s="7">
        <v>46184.028344907405</v>
      </c>
    </row>
    <row r="152">
      <c r="A152" s="3" t="s">
        <v>17</v>
      </c>
      <c r="B152" s="3" t="s">
        <v>43</v>
      </c>
      <c r="C152" s="3" t="s">
        <v>44</v>
      </c>
      <c r="D152" s="6" t="s">
        <v>275</v>
      </c>
      <c r="E152" s="7">
        <v>46189.640543981484</v>
      </c>
    </row>
    <row r="153">
      <c r="A153" s="3" t="s">
        <v>17</v>
      </c>
      <c r="B153" s="3" t="s">
        <v>43</v>
      </c>
      <c r="C153" s="3" t="s">
        <v>44</v>
      </c>
      <c r="D153" s="6" t="s">
        <v>277</v>
      </c>
      <c r="E153" s="7">
        <v>46189.64076388889</v>
      </c>
    </row>
    <row r="154">
      <c r="A154" s="3" t="s">
        <v>17</v>
      </c>
      <c r="B154" s="3" t="s">
        <v>43</v>
      </c>
      <c r="C154" s="3" t="s">
        <v>44</v>
      </c>
      <c r="D154" s="6" t="s">
        <v>280</v>
      </c>
      <c r="E154" s="7">
        <v>46189.64136574074</v>
      </c>
    </row>
    <row r="155">
      <c r="A155" s="3" t="s">
        <v>17</v>
      </c>
      <c r="B155" s="3" t="s">
        <v>43</v>
      </c>
      <c r="C155" s="3" t="s">
        <v>44</v>
      </c>
      <c r="D155" s="6" t="s">
        <v>281</v>
      </c>
      <c r="E155" s="7">
        <v>46189.64195601852</v>
      </c>
    </row>
    <row r="156">
      <c r="A156" s="3" t="s">
        <v>17</v>
      </c>
      <c r="B156" s="3" t="s">
        <v>43</v>
      </c>
      <c r="C156" s="3" t="s">
        <v>44</v>
      </c>
      <c r="D156" s="6" t="s">
        <v>167</v>
      </c>
      <c r="E156" s="7">
        <v>46189.642372685186</v>
      </c>
    </row>
    <row r="157">
      <c r="A157" s="3" t="s">
        <v>17</v>
      </c>
      <c r="B157" s="3" t="s">
        <v>43</v>
      </c>
      <c r="C157" s="3" t="s">
        <v>44</v>
      </c>
      <c r="D157" s="6" t="s">
        <v>103</v>
      </c>
      <c r="E157" s="7">
        <v>46189.644467592596</v>
      </c>
    </row>
    <row r="158">
      <c r="A158" s="3" t="s">
        <v>17</v>
      </c>
      <c r="B158" s="3" t="s">
        <v>43</v>
      </c>
      <c r="C158" s="3" t="s">
        <v>44</v>
      </c>
      <c r="D158" s="6" t="s">
        <v>144</v>
      </c>
      <c r="E158" s="7">
        <v>46189.64653935185</v>
      </c>
    </row>
    <row r="159">
      <c r="A159" s="3" t="s">
        <v>17</v>
      </c>
      <c r="B159" s="3" t="s">
        <v>43</v>
      </c>
      <c r="C159" s="3" t="s">
        <v>44</v>
      </c>
      <c r="D159" s="6" t="s">
        <v>146</v>
      </c>
      <c r="E159" s="7">
        <v>46189.64861111111</v>
      </c>
    </row>
    <row r="160">
      <c r="A160" s="3" t="s">
        <v>17</v>
      </c>
      <c r="B160" s="3" t="s">
        <v>43</v>
      </c>
      <c r="C160" s="3" t="s">
        <v>44</v>
      </c>
      <c r="D160" s="6" t="s">
        <v>285</v>
      </c>
      <c r="E160" s="7">
        <v>46189.651087962964</v>
      </c>
    </row>
    <row r="161">
      <c r="A161" s="3" t="s">
        <v>17</v>
      </c>
      <c r="B161" s="3" t="s">
        <v>43</v>
      </c>
      <c r="C161" s="3" t="s">
        <v>44</v>
      </c>
      <c r="D161" s="6" t="s">
        <v>286</v>
      </c>
      <c r="E161" s="7">
        <v>46189.653865740744</v>
      </c>
    </row>
    <row r="162">
      <c r="A162" s="3" t="s">
        <v>17</v>
      </c>
      <c r="B162" s="3" t="s">
        <v>43</v>
      </c>
      <c r="C162" s="3" t="s">
        <v>44</v>
      </c>
      <c r="D162" s="6" t="s">
        <v>289</v>
      </c>
      <c r="E162" s="7">
        <v>46189.65594907408</v>
      </c>
    </row>
    <row r="163">
      <c r="A163" s="3" t="s">
        <v>17</v>
      </c>
      <c r="B163" s="3" t="s">
        <v>43</v>
      </c>
      <c r="C163" s="3" t="s">
        <v>44</v>
      </c>
      <c r="D163" s="6" t="s">
        <v>182</v>
      </c>
      <c r="E163" s="7">
        <v>46189.65734953704</v>
      </c>
    </row>
    <row r="164">
      <c r="A164" s="3" t="s">
        <v>17</v>
      </c>
      <c r="B164" s="3" t="s">
        <v>43</v>
      </c>
      <c r="C164" s="3" t="s">
        <v>44</v>
      </c>
      <c r="D164" s="6" t="s">
        <v>290</v>
      </c>
      <c r="E164" s="7">
        <v>46189.659421296295</v>
      </c>
    </row>
    <row r="165">
      <c r="A165" s="3" t="s">
        <v>17</v>
      </c>
      <c r="B165" s="3" t="s">
        <v>43</v>
      </c>
      <c r="C165" s="3" t="s">
        <v>44</v>
      </c>
      <c r="D165" s="6" t="s">
        <v>202</v>
      </c>
      <c r="E165" s="7">
        <v>46189.66149305556</v>
      </c>
    </row>
    <row r="166">
      <c r="A166" s="3" t="s">
        <v>17</v>
      </c>
      <c r="B166" s="3" t="s">
        <v>43</v>
      </c>
      <c r="C166" s="3" t="s">
        <v>44</v>
      </c>
      <c r="D166" s="6" t="s">
        <v>293</v>
      </c>
      <c r="E166" s="7">
        <v>46189.68959490741</v>
      </c>
    </row>
    <row r="167">
      <c r="A167" s="3" t="s">
        <v>17</v>
      </c>
      <c r="B167" s="3" t="s">
        <v>43</v>
      </c>
      <c r="C167" s="3" t="s">
        <v>44</v>
      </c>
      <c r="D167" s="6" t="s">
        <v>130</v>
      </c>
      <c r="E167" s="7">
        <v>46189.690983796296</v>
      </c>
    </row>
    <row r="168">
      <c r="A168" s="3" t="s">
        <v>17</v>
      </c>
      <c r="B168" s="3" t="s">
        <v>43</v>
      </c>
      <c r="C168" s="3" t="s">
        <v>44</v>
      </c>
      <c r="D168" s="6" t="s">
        <v>206</v>
      </c>
      <c r="E168" s="7">
        <v>46189.69111111111</v>
      </c>
    </row>
    <row r="169">
      <c r="A169" s="3" t="s">
        <v>17</v>
      </c>
      <c r="B169" s="3" t="s">
        <v>43</v>
      </c>
      <c r="C169" s="3" t="s">
        <v>44</v>
      </c>
      <c r="D169" s="6" t="s">
        <v>87</v>
      </c>
      <c r="E169" s="7">
        <v>46190.697222222225</v>
      </c>
    </row>
    <row r="170">
      <c r="A170" s="3" t="s">
        <v>17</v>
      </c>
      <c r="B170" s="3" t="s">
        <v>35</v>
      </c>
      <c r="C170" s="3" t="s">
        <v>36</v>
      </c>
      <c r="D170" s="6" t="s">
        <v>103</v>
      </c>
      <c r="E170" s="7">
        <v>46193.3218287037</v>
      </c>
    </row>
    <row r="171">
      <c r="A171" s="3" t="s">
        <v>17</v>
      </c>
      <c r="B171" s="3" t="s">
        <v>35</v>
      </c>
      <c r="C171" s="3" t="s">
        <v>36</v>
      </c>
      <c r="D171" s="6" t="s">
        <v>299</v>
      </c>
      <c r="E171" s="7">
        <v>46193.32239583333</v>
      </c>
    </row>
    <row r="172">
      <c r="A172" s="3" t="s">
        <v>17</v>
      </c>
      <c r="B172" s="3" t="s">
        <v>35</v>
      </c>
      <c r="C172" s="3" t="s">
        <v>36</v>
      </c>
      <c r="D172" s="6" t="s">
        <v>117</v>
      </c>
      <c r="E172" s="7">
        <v>46195.577939814815</v>
      </c>
    </row>
    <row r="173">
      <c r="A173" s="3" t="s">
        <v>17</v>
      </c>
      <c r="B173" s="3" t="s">
        <v>35</v>
      </c>
      <c r="C173" s="3" t="s">
        <v>36</v>
      </c>
      <c r="D173" s="6" t="s">
        <v>144</v>
      </c>
      <c r="E173" s="7">
        <v>46195.58252314815</v>
      </c>
    </row>
    <row r="174">
      <c r="A174" s="3" t="s">
        <v>17</v>
      </c>
      <c r="B174" s="3" t="s">
        <v>35</v>
      </c>
      <c r="C174" s="3" t="s">
        <v>36</v>
      </c>
      <c r="D174" s="6" t="s">
        <v>146</v>
      </c>
      <c r="E174" s="7">
        <v>46195.58666666667</v>
      </c>
    </row>
    <row r="175">
      <c r="A175" s="3" t="s">
        <v>17</v>
      </c>
      <c r="B175" s="3" t="s">
        <v>35</v>
      </c>
      <c r="C175" s="3" t="s">
        <v>36</v>
      </c>
      <c r="D175" s="6" t="s">
        <v>110</v>
      </c>
      <c r="E175" s="7">
        <v>46195.59190972222</v>
      </c>
    </row>
    <row r="176">
      <c r="A176" s="3" t="s">
        <v>17</v>
      </c>
      <c r="B176" s="3" t="s">
        <v>35</v>
      </c>
      <c r="C176" s="3" t="s">
        <v>36</v>
      </c>
      <c r="D176" s="6" t="s">
        <v>111</v>
      </c>
      <c r="E176" s="7">
        <v>46195.59605324074</v>
      </c>
    </row>
    <row r="177">
      <c r="A177" s="3" t="s">
        <v>17</v>
      </c>
      <c r="B177" s="3" t="s">
        <v>35</v>
      </c>
      <c r="C177" s="3" t="s">
        <v>36</v>
      </c>
      <c r="D177" s="6" t="s">
        <v>112</v>
      </c>
      <c r="E177" s="7">
        <v>46195.60019675926</v>
      </c>
    </row>
    <row r="178">
      <c r="A178" s="3" t="s">
        <v>17</v>
      </c>
      <c r="B178" s="3" t="s">
        <v>35</v>
      </c>
      <c r="C178" s="3" t="s">
        <v>36</v>
      </c>
      <c r="D178" s="6" t="s">
        <v>182</v>
      </c>
      <c r="E178" s="7">
        <v>46195.605266203704</v>
      </c>
    </row>
    <row r="179">
      <c r="A179" s="3" t="s">
        <v>17</v>
      </c>
      <c r="B179" s="3" t="s">
        <v>35</v>
      </c>
      <c r="C179" s="3" t="s">
        <v>36</v>
      </c>
      <c r="D179" s="6" t="s">
        <v>305</v>
      </c>
      <c r="E179" s="7">
        <v>46195.61059027778</v>
      </c>
    </row>
    <row r="180">
      <c r="A180" s="3" t="s">
        <v>17</v>
      </c>
      <c r="B180" s="3" t="s">
        <v>35</v>
      </c>
      <c r="C180" s="3" t="s">
        <v>36</v>
      </c>
      <c r="D180" s="6" t="s">
        <v>202</v>
      </c>
      <c r="E180" s="7">
        <v>46195.61474537037</v>
      </c>
    </row>
    <row r="181">
      <c r="A181" s="3" t="s">
        <v>17</v>
      </c>
      <c r="B181" s="3" t="s">
        <v>35</v>
      </c>
      <c r="C181" s="3" t="s">
        <v>36</v>
      </c>
      <c r="D181" s="6" t="s">
        <v>130</v>
      </c>
      <c r="E181" s="7">
        <v>46195.61888888889</v>
      </c>
    </row>
    <row r="182">
      <c r="A182" s="3" t="s">
        <v>17</v>
      </c>
      <c r="B182" s="3" t="s">
        <v>35</v>
      </c>
      <c r="C182" s="3" t="s">
        <v>36</v>
      </c>
      <c r="D182" s="6" t="s">
        <v>206</v>
      </c>
      <c r="E182" s="7">
        <v>46195.622245370374</v>
      </c>
    </row>
    <row r="183">
      <c r="A183" s="3" t="s">
        <v>17</v>
      </c>
      <c r="B183" s="3" t="s">
        <v>98</v>
      </c>
      <c r="C183" s="3" t="s">
        <v>99</v>
      </c>
      <c r="D183" s="6" t="s">
        <v>156</v>
      </c>
      <c r="E183" s="9">
        <v>46060.74605324074</v>
      </c>
    </row>
    <row r="184">
      <c r="A184" s="3" t="s">
        <v>17</v>
      </c>
      <c r="B184" s="3" t="s">
        <v>25</v>
      </c>
      <c r="C184" s="3" t="s">
        <v>26</v>
      </c>
      <c r="D184" s="6" t="s">
        <v>308</v>
      </c>
      <c r="E184" s="9">
        <v>46060.75271990741</v>
      </c>
    </row>
    <row r="185">
      <c r="A185" s="3" t="s">
        <v>17</v>
      </c>
      <c r="B185" s="3" t="s">
        <v>25</v>
      </c>
      <c r="C185" s="3" t="s">
        <v>26</v>
      </c>
      <c r="D185" s="6" t="s">
        <v>309</v>
      </c>
      <c r="E185" s="9">
        <v>46060.75274305556</v>
      </c>
    </row>
    <row r="186">
      <c r="A186" s="3" t="s">
        <v>17</v>
      </c>
      <c r="B186" s="3" t="s">
        <v>25</v>
      </c>
      <c r="C186" s="3" t="s">
        <v>26</v>
      </c>
      <c r="D186" s="6" t="s">
        <v>309</v>
      </c>
      <c r="E186" s="9">
        <v>46060.75283564815</v>
      </c>
    </row>
    <row r="187">
      <c r="A187" s="3" t="s">
        <v>17</v>
      </c>
      <c r="B187" s="3" t="s">
        <v>25</v>
      </c>
      <c r="C187" s="3" t="s">
        <v>26</v>
      </c>
      <c r="D187" s="6" t="s">
        <v>309</v>
      </c>
      <c r="E187" s="9">
        <v>46060.75288194444</v>
      </c>
    </row>
    <row r="188">
      <c r="A188" s="3" t="s">
        <v>17</v>
      </c>
      <c r="B188" s="3" t="s">
        <v>25</v>
      </c>
      <c r="C188" s="3" t="s">
        <v>26</v>
      </c>
      <c r="D188" s="6" t="s">
        <v>310</v>
      </c>
      <c r="E188" s="9">
        <v>46060.75298611111</v>
      </c>
    </row>
    <row r="189">
      <c r="A189" s="3" t="s">
        <v>17</v>
      </c>
      <c r="B189" s="3" t="s">
        <v>25</v>
      </c>
      <c r="C189" s="3" t="s">
        <v>26</v>
      </c>
      <c r="D189" s="6" t="s">
        <v>311</v>
      </c>
      <c r="E189" s="9">
        <v>46060.78041666667</v>
      </c>
    </row>
    <row r="190">
      <c r="A190" s="3" t="s">
        <v>17</v>
      </c>
      <c r="B190" s="3" t="s">
        <v>25</v>
      </c>
      <c r="C190" s="3" t="s">
        <v>26</v>
      </c>
      <c r="D190" s="6" t="s">
        <v>309</v>
      </c>
      <c r="E190" s="9">
        <v>46060.780439814815</v>
      </c>
    </row>
    <row r="191">
      <c r="A191" s="3" t="s">
        <v>17</v>
      </c>
      <c r="B191" s="3" t="s">
        <v>25</v>
      </c>
      <c r="C191" s="3" t="s">
        <v>26</v>
      </c>
      <c r="D191" s="6" t="s">
        <v>309</v>
      </c>
      <c r="E191" s="9">
        <v>46060.78046296296</v>
      </c>
    </row>
    <row r="192">
      <c r="A192" s="3" t="s">
        <v>17</v>
      </c>
      <c r="B192" s="3" t="s">
        <v>25</v>
      </c>
      <c r="C192" s="3" t="s">
        <v>26</v>
      </c>
      <c r="D192" s="6" t="s">
        <v>309</v>
      </c>
      <c r="E192" s="9">
        <v>46060.780486111114</v>
      </c>
    </row>
    <row r="193">
      <c r="A193" s="3" t="s">
        <v>17</v>
      </c>
      <c r="B193" s="3" t="s">
        <v>25</v>
      </c>
      <c r="C193" s="3" t="s">
        <v>26</v>
      </c>
      <c r="D193" s="6" t="s">
        <v>309</v>
      </c>
      <c r="E193" s="9">
        <v>46060.780497685184</v>
      </c>
    </row>
    <row r="194">
      <c r="A194" s="3" t="s">
        <v>17</v>
      </c>
      <c r="B194" s="3" t="s">
        <v>25</v>
      </c>
      <c r="C194" s="3" t="s">
        <v>26</v>
      </c>
      <c r="D194" s="6" t="s">
        <v>315</v>
      </c>
      <c r="E194" s="9">
        <v>46060.780706018515</v>
      </c>
    </row>
    <row r="195">
      <c r="A195" s="3" t="s">
        <v>17</v>
      </c>
      <c r="B195" s="3" t="s">
        <v>25</v>
      </c>
      <c r="C195" s="3" t="s">
        <v>26</v>
      </c>
      <c r="D195" s="6" t="s">
        <v>316</v>
      </c>
      <c r="E195" s="9">
        <v>46060.781377314815</v>
      </c>
    </row>
    <row r="196">
      <c r="A196" s="3" t="s">
        <v>17</v>
      </c>
      <c r="B196" s="3" t="s">
        <v>25</v>
      </c>
      <c r="C196" s="3" t="s">
        <v>26</v>
      </c>
      <c r="D196" s="6" t="s">
        <v>156</v>
      </c>
      <c r="E196" s="9">
        <v>46060.802719907406</v>
      </c>
    </row>
    <row r="197">
      <c r="A197" s="3" t="s">
        <v>17</v>
      </c>
      <c r="B197" s="3" t="s">
        <v>35</v>
      </c>
      <c r="C197" s="3" t="s">
        <v>36</v>
      </c>
      <c r="D197" s="6" t="s">
        <v>117</v>
      </c>
      <c r="E197" s="9">
        <v>46241.84229166667</v>
      </c>
    </row>
    <row r="198">
      <c r="A198" s="3" t="s">
        <v>17</v>
      </c>
      <c r="B198" s="3" t="s">
        <v>25</v>
      </c>
      <c r="C198" s="3" t="s">
        <v>26</v>
      </c>
      <c r="D198" s="6" t="s">
        <v>319</v>
      </c>
      <c r="E198" s="9">
        <v>46302.7065162037</v>
      </c>
    </row>
    <row r="199">
      <c r="A199" s="3" t="s">
        <v>17</v>
      </c>
      <c r="B199" s="3" t="s">
        <v>25</v>
      </c>
      <c r="C199" s="3" t="s">
        <v>26</v>
      </c>
      <c r="D199" s="6" t="s">
        <v>321</v>
      </c>
      <c r="E199" s="9">
        <v>46363.58327546297</v>
      </c>
    </row>
    <row r="200">
      <c r="A200" s="3" t="s">
        <v>17</v>
      </c>
      <c r="B200" s="3" t="s">
        <v>35</v>
      </c>
      <c r="C200" s="3" t="s">
        <v>36</v>
      </c>
      <c r="D200" s="6" t="s">
        <v>323</v>
      </c>
      <c r="E200" s="7">
        <v>46218.72576388889</v>
      </c>
    </row>
    <row r="201">
      <c r="D201" s="26"/>
    </row>
    <row r="202">
      <c r="D202" s="26"/>
    </row>
    <row r="203">
      <c r="D203" s="26"/>
    </row>
    <row r="204">
      <c r="D204" s="26"/>
    </row>
    <row r="205">
      <c r="D205" s="26"/>
    </row>
    <row r="206">
      <c r="D206" s="26"/>
    </row>
    <row r="207">
      <c r="D207" s="26"/>
    </row>
    <row r="208">
      <c r="D208" s="26"/>
    </row>
    <row r="209">
      <c r="D209" s="26"/>
    </row>
    <row r="210">
      <c r="D210" s="26"/>
    </row>
    <row r="211">
      <c r="D211" s="26"/>
    </row>
    <row r="212">
      <c r="D212" s="26"/>
    </row>
    <row r="213">
      <c r="D213" s="26"/>
    </row>
    <row r="214">
      <c r="D214" s="26"/>
    </row>
    <row r="215">
      <c r="D215" s="26"/>
    </row>
    <row r="216">
      <c r="D216" s="26"/>
    </row>
    <row r="217">
      <c r="D217" s="26"/>
    </row>
    <row r="218">
      <c r="D218" s="26"/>
    </row>
    <row r="219">
      <c r="D219" s="26"/>
    </row>
    <row r="220">
      <c r="D220" s="26"/>
    </row>
    <row r="221">
      <c r="D221" s="26"/>
    </row>
    <row r="222">
      <c r="D222" s="26"/>
    </row>
    <row r="223">
      <c r="D223" s="26"/>
    </row>
    <row r="224">
      <c r="D224" s="26"/>
    </row>
    <row r="225">
      <c r="D225" s="26"/>
    </row>
    <row r="226">
      <c r="D226" s="26"/>
    </row>
    <row r="227">
      <c r="D227" s="26"/>
    </row>
    <row r="228">
      <c r="D228" s="26"/>
    </row>
    <row r="229">
      <c r="D229" s="26"/>
    </row>
    <row r="230">
      <c r="D230" s="26"/>
    </row>
    <row r="231">
      <c r="D231" s="26"/>
    </row>
    <row r="232">
      <c r="D232" s="26"/>
    </row>
    <row r="233">
      <c r="D233" s="26"/>
    </row>
    <row r="234">
      <c r="D234" s="26"/>
    </row>
    <row r="235">
      <c r="D235" s="26"/>
    </row>
    <row r="236">
      <c r="D236" s="26"/>
    </row>
    <row r="237">
      <c r="D237" s="26"/>
    </row>
    <row r="238">
      <c r="D238" s="26"/>
    </row>
    <row r="239">
      <c r="D239" s="26"/>
    </row>
    <row r="240">
      <c r="D240" s="26"/>
    </row>
    <row r="241">
      <c r="D241" s="26"/>
    </row>
    <row r="242">
      <c r="D242" s="26"/>
    </row>
    <row r="243">
      <c r="D243" s="26"/>
    </row>
    <row r="244">
      <c r="D244" s="26"/>
    </row>
    <row r="245">
      <c r="D245" s="26"/>
    </row>
    <row r="246">
      <c r="D246" s="26"/>
    </row>
    <row r="247">
      <c r="D247" s="26"/>
    </row>
    <row r="248">
      <c r="D248" s="26"/>
    </row>
    <row r="249">
      <c r="D249" s="26"/>
    </row>
    <row r="250">
      <c r="D250" s="26"/>
    </row>
    <row r="251">
      <c r="D251" s="26"/>
    </row>
    <row r="252">
      <c r="D252" s="26"/>
    </row>
    <row r="253">
      <c r="D253" s="26"/>
    </row>
    <row r="254">
      <c r="D254" s="26"/>
    </row>
    <row r="255">
      <c r="D255" s="26"/>
    </row>
    <row r="256">
      <c r="D256" s="26"/>
    </row>
    <row r="257">
      <c r="D257" s="26"/>
    </row>
    <row r="258">
      <c r="D258" s="26"/>
    </row>
    <row r="259">
      <c r="D259" s="26"/>
    </row>
    <row r="260">
      <c r="D260" s="26"/>
    </row>
    <row r="261">
      <c r="D261" s="26"/>
    </row>
    <row r="262">
      <c r="D262" s="26"/>
    </row>
    <row r="263">
      <c r="D263" s="26"/>
    </row>
    <row r="264">
      <c r="D264" s="26"/>
    </row>
    <row r="265">
      <c r="D265" s="26"/>
    </row>
    <row r="266">
      <c r="D266" s="26"/>
    </row>
    <row r="267">
      <c r="D267" s="26"/>
    </row>
    <row r="268">
      <c r="D268" s="26"/>
    </row>
    <row r="269">
      <c r="D269" s="26"/>
    </row>
    <row r="270">
      <c r="D270" s="26"/>
    </row>
    <row r="271">
      <c r="D271" s="26"/>
    </row>
    <row r="272">
      <c r="D272" s="26"/>
    </row>
    <row r="273">
      <c r="D273" s="26"/>
    </row>
    <row r="274">
      <c r="D274" s="26"/>
    </row>
    <row r="275">
      <c r="D275" s="26"/>
    </row>
    <row r="276">
      <c r="D276" s="26"/>
    </row>
    <row r="277">
      <c r="D277" s="26"/>
    </row>
    <row r="278">
      <c r="D278" s="26"/>
    </row>
    <row r="279">
      <c r="D279" s="26"/>
    </row>
    <row r="280">
      <c r="D280" s="26"/>
    </row>
    <row r="281">
      <c r="D281" s="26"/>
    </row>
    <row r="282">
      <c r="D282" s="26"/>
    </row>
    <row r="283">
      <c r="D283" s="26"/>
    </row>
    <row r="284">
      <c r="D284" s="26"/>
    </row>
    <row r="285">
      <c r="D285" s="26"/>
    </row>
    <row r="286">
      <c r="D286" s="26"/>
    </row>
    <row r="287">
      <c r="D287" s="26"/>
    </row>
    <row r="288">
      <c r="D288" s="26"/>
    </row>
    <row r="289">
      <c r="D289" s="26"/>
    </row>
    <row r="290">
      <c r="D290" s="26"/>
    </row>
    <row r="291">
      <c r="D291" s="26"/>
    </row>
    <row r="292">
      <c r="D292" s="26"/>
    </row>
    <row r="293">
      <c r="D293" s="26"/>
    </row>
    <row r="294">
      <c r="D294" s="26"/>
    </row>
    <row r="295">
      <c r="D295" s="26"/>
    </row>
    <row r="296">
      <c r="D296" s="26"/>
    </row>
    <row r="297">
      <c r="D297" s="26"/>
    </row>
    <row r="298">
      <c r="D298" s="26"/>
    </row>
    <row r="299">
      <c r="D299" s="26"/>
    </row>
    <row r="300">
      <c r="D300" s="26"/>
    </row>
    <row r="301">
      <c r="D301" s="26"/>
    </row>
    <row r="302">
      <c r="D302" s="26"/>
    </row>
    <row r="303">
      <c r="D303" s="26"/>
    </row>
    <row r="304">
      <c r="D304" s="26"/>
    </row>
    <row r="305">
      <c r="D305" s="26"/>
    </row>
    <row r="306">
      <c r="D306" s="26"/>
    </row>
    <row r="307">
      <c r="D307" s="26"/>
    </row>
    <row r="308">
      <c r="D308" s="26"/>
    </row>
    <row r="309">
      <c r="D309" s="26"/>
    </row>
    <row r="310">
      <c r="D310" s="26"/>
    </row>
    <row r="311">
      <c r="D311" s="26"/>
    </row>
    <row r="312">
      <c r="D312" s="26"/>
    </row>
    <row r="313">
      <c r="D313" s="26"/>
    </row>
    <row r="314">
      <c r="D314" s="26"/>
    </row>
    <row r="315">
      <c r="D315" s="26"/>
    </row>
    <row r="316">
      <c r="D316" s="26"/>
    </row>
    <row r="317">
      <c r="D317" s="26"/>
    </row>
    <row r="318">
      <c r="D318" s="26"/>
    </row>
    <row r="319">
      <c r="D319" s="26"/>
    </row>
    <row r="320">
      <c r="D320" s="26"/>
    </row>
    <row r="321">
      <c r="D321" s="26"/>
    </row>
    <row r="322">
      <c r="D322" s="26"/>
    </row>
    <row r="323">
      <c r="D323" s="26"/>
    </row>
    <row r="324">
      <c r="D324" s="26"/>
    </row>
    <row r="325">
      <c r="D325" s="26"/>
    </row>
    <row r="326">
      <c r="D326" s="26"/>
    </row>
    <row r="327">
      <c r="D327" s="26"/>
    </row>
    <row r="328">
      <c r="D328" s="26"/>
    </row>
    <row r="329">
      <c r="D329" s="26"/>
    </row>
    <row r="330">
      <c r="D330" s="26"/>
    </row>
    <row r="331">
      <c r="D331" s="26"/>
    </row>
    <row r="332">
      <c r="D332" s="26"/>
    </row>
    <row r="333">
      <c r="D333" s="26"/>
    </row>
    <row r="334">
      <c r="D334" s="26"/>
    </row>
    <row r="335">
      <c r="D335" s="26"/>
    </row>
    <row r="336">
      <c r="D336" s="26"/>
    </row>
    <row r="337">
      <c r="D337" s="26"/>
    </row>
    <row r="338">
      <c r="D338" s="26"/>
    </row>
    <row r="339">
      <c r="D339" s="26"/>
    </row>
    <row r="340">
      <c r="D340" s="26"/>
    </row>
    <row r="341">
      <c r="D341" s="26"/>
    </row>
    <row r="342">
      <c r="D342" s="26"/>
    </row>
    <row r="343">
      <c r="D343" s="26"/>
    </row>
    <row r="344">
      <c r="D344" s="26"/>
    </row>
    <row r="345">
      <c r="D345" s="26"/>
    </row>
    <row r="346">
      <c r="D346" s="26"/>
    </row>
    <row r="347">
      <c r="D347" s="26"/>
    </row>
    <row r="348">
      <c r="D348" s="26"/>
    </row>
    <row r="349">
      <c r="D349" s="26"/>
    </row>
    <row r="350">
      <c r="D350" s="26"/>
    </row>
    <row r="351">
      <c r="D351" s="26"/>
    </row>
    <row r="352">
      <c r="D352" s="26"/>
    </row>
    <row r="353">
      <c r="D353" s="26"/>
    </row>
    <row r="354">
      <c r="D354" s="26"/>
    </row>
    <row r="355">
      <c r="D355" s="26"/>
    </row>
    <row r="356">
      <c r="D356" s="26"/>
    </row>
    <row r="357">
      <c r="D357" s="26"/>
    </row>
    <row r="358">
      <c r="D358" s="26"/>
    </row>
    <row r="359">
      <c r="D359" s="26"/>
    </row>
    <row r="360">
      <c r="D360" s="26"/>
    </row>
    <row r="361">
      <c r="D361" s="26"/>
    </row>
    <row r="362">
      <c r="D362" s="26"/>
    </row>
    <row r="363">
      <c r="D363" s="26"/>
    </row>
    <row r="364">
      <c r="D364" s="26"/>
    </row>
    <row r="365">
      <c r="D365" s="26"/>
    </row>
    <row r="366">
      <c r="D366" s="26"/>
    </row>
    <row r="367">
      <c r="D367" s="26"/>
    </row>
    <row r="368">
      <c r="D368" s="26"/>
    </row>
    <row r="369">
      <c r="D369" s="26"/>
    </row>
    <row r="370">
      <c r="D370" s="26"/>
    </row>
    <row r="371">
      <c r="D371" s="26"/>
    </row>
    <row r="372">
      <c r="D372" s="26"/>
    </row>
    <row r="373">
      <c r="D373" s="26"/>
    </row>
    <row r="374">
      <c r="D374" s="26"/>
    </row>
    <row r="375">
      <c r="D375" s="26"/>
    </row>
    <row r="376">
      <c r="D376" s="26"/>
    </row>
    <row r="377">
      <c r="D377" s="26"/>
    </row>
    <row r="378">
      <c r="D378" s="26"/>
    </row>
    <row r="379">
      <c r="D379" s="26"/>
    </row>
    <row r="380">
      <c r="D380" s="26"/>
    </row>
    <row r="381">
      <c r="D381" s="26"/>
    </row>
    <row r="382">
      <c r="D382" s="26"/>
    </row>
    <row r="383">
      <c r="D383" s="26"/>
    </row>
    <row r="384">
      <c r="D384" s="26"/>
    </row>
    <row r="385">
      <c r="D385" s="26"/>
    </row>
    <row r="386">
      <c r="D386" s="26"/>
    </row>
    <row r="387">
      <c r="D387" s="26"/>
    </row>
    <row r="388">
      <c r="D388" s="26"/>
    </row>
    <row r="389">
      <c r="D389" s="26"/>
    </row>
    <row r="390">
      <c r="D390" s="26"/>
    </row>
    <row r="391">
      <c r="D391" s="26"/>
    </row>
    <row r="392">
      <c r="D392" s="26"/>
    </row>
    <row r="393">
      <c r="D393" s="26"/>
    </row>
    <row r="394">
      <c r="D394" s="26"/>
    </row>
    <row r="395">
      <c r="D395" s="26"/>
    </row>
    <row r="396">
      <c r="D396" s="26"/>
    </row>
    <row r="397">
      <c r="D397" s="26"/>
    </row>
    <row r="398">
      <c r="D398" s="26"/>
    </row>
    <row r="399">
      <c r="D399" s="26"/>
    </row>
    <row r="400">
      <c r="D400" s="26"/>
    </row>
    <row r="401">
      <c r="D401" s="26"/>
    </row>
    <row r="402">
      <c r="D402" s="26"/>
    </row>
    <row r="403">
      <c r="D403" s="26"/>
    </row>
    <row r="404">
      <c r="D404" s="26"/>
    </row>
    <row r="405">
      <c r="D405" s="26"/>
    </row>
    <row r="406">
      <c r="D406" s="26"/>
    </row>
    <row r="407">
      <c r="D407" s="26"/>
    </row>
    <row r="408">
      <c r="D408" s="26"/>
    </row>
    <row r="409">
      <c r="D409" s="26"/>
    </row>
    <row r="410">
      <c r="D410" s="26"/>
    </row>
    <row r="411">
      <c r="D411" s="26"/>
    </row>
    <row r="412">
      <c r="D412" s="26"/>
    </row>
    <row r="413">
      <c r="D413" s="26"/>
    </row>
    <row r="414">
      <c r="D414" s="26"/>
    </row>
    <row r="415">
      <c r="D415" s="26"/>
    </row>
    <row r="416">
      <c r="D416" s="26"/>
    </row>
    <row r="417">
      <c r="D417" s="26"/>
    </row>
    <row r="418">
      <c r="D418" s="26"/>
    </row>
    <row r="419">
      <c r="D419" s="26"/>
    </row>
    <row r="420">
      <c r="D420" s="26"/>
    </row>
    <row r="421">
      <c r="D421" s="26"/>
    </row>
    <row r="422">
      <c r="D422" s="26"/>
    </row>
    <row r="423">
      <c r="D423" s="26"/>
    </row>
    <row r="424">
      <c r="D424" s="26"/>
    </row>
    <row r="425">
      <c r="D425" s="26"/>
    </row>
    <row r="426">
      <c r="D426" s="26"/>
    </row>
    <row r="427">
      <c r="D427" s="26"/>
    </row>
    <row r="428">
      <c r="D428" s="26"/>
    </row>
    <row r="429">
      <c r="D429" s="26"/>
    </row>
    <row r="430">
      <c r="D430" s="26"/>
    </row>
    <row r="431">
      <c r="D431" s="26"/>
    </row>
    <row r="432">
      <c r="D432" s="26"/>
    </row>
    <row r="433">
      <c r="D433" s="26"/>
    </row>
    <row r="434">
      <c r="D434" s="26"/>
    </row>
    <row r="435">
      <c r="D435" s="26"/>
    </row>
    <row r="436">
      <c r="D436" s="26"/>
    </row>
    <row r="437">
      <c r="D437" s="26"/>
    </row>
    <row r="438">
      <c r="D438" s="26"/>
    </row>
    <row r="439">
      <c r="D439" s="26"/>
    </row>
    <row r="440">
      <c r="D440" s="26"/>
    </row>
    <row r="441">
      <c r="D441" s="26"/>
    </row>
    <row r="442">
      <c r="D442" s="26"/>
    </row>
    <row r="443">
      <c r="D443" s="26"/>
    </row>
    <row r="444">
      <c r="D444" s="26"/>
    </row>
    <row r="445">
      <c r="D445" s="26"/>
    </row>
    <row r="446">
      <c r="D446" s="26"/>
    </row>
    <row r="447">
      <c r="D447" s="26"/>
    </row>
    <row r="448">
      <c r="D448" s="26"/>
    </row>
    <row r="449">
      <c r="D449" s="26"/>
    </row>
    <row r="450">
      <c r="D450" s="26"/>
    </row>
    <row r="451">
      <c r="D451" s="26"/>
    </row>
    <row r="452">
      <c r="D452" s="26"/>
    </row>
    <row r="453">
      <c r="D453" s="26"/>
    </row>
    <row r="454">
      <c r="D454" s="26"/>
    </row>
    <row r="455">
      <c r="D455" s="26"/>
    </row>
    <row r="456">
      <c r="D456" s="26"/>
    </row>
    <row r="457">
      <c r="D457" s="26"/>
    </row>
    <row r="458">
      <c r="D458" s="26"/>
    </row>
    <row r="459">
      <c r="D459" s="26"/>
    </row>
    <row r="460">
      <c r="D460" s="26"/>
    </row>
    <row r="461">
      <c r="D461" s="26"/>
    </row>
    <row r="462">
      <c r="D462" s="26"/>
    </row>
    <row r="463">
      <c r="D463" s="26"/>
    </row>
    <row r="464">
      <c r="D464" s="26"/>
    </row>
    <row r="465">
      <c r="D465" s="26"/>
    </row>
    <row r="466">
      <c r="D466" s="26"/>
    </row>
    <row r="467">
      <c r="D467" s="26"/>
    </row>
    <row r="468">
      <c r="D468" s="26"/>
    </row>
    <row r="469">
      <c r="D469" s="26"/>
    </row>
    <row r="470">
      <c r="D470" s="26"/>
    </row>
    <row r="471">
      <c r="D471" s="26"/>
    </row>
    <row r="472">
      <c r="D472" s="26"/>
    </row>
    <row r="473">
      <c r="D473" s="26"/>
    </row>
    <row r="474">
      <c r="D474" s="26"/>
    </row>
    <row r="475">
      <c r="D475" s="26"/>
    </row>
    <row r="476">
      <c r="D476" s="26"/>
    </row>
    <row r="477">
      <c r="D477" s="26"/>
    </row>
    <row r="478">
      <c r="D478" s="26"/>
    </row>
    <row r="479">
      <c r="D479" s="26"/>
    </row>
    <row r="480">
      <c r="D480" s="26"/>
    </row>
    <row r="481">
      <c r="D481" s="26"/>
    </row>
    <row r="482">
      <c r="D482" s="26"/>
    </row>
    <row r="483">
      <c r="D483" s="26"/>
    </row>
    <row r="484">
      <c r="D484" s="26"/>
    </row>
    <row r="485">
      <c r="D485" s="26"/>
    </row>
    <row r="486">
      <c r="D486" s="26"/>
    </row>
    <row r="487">
      <c r="D487" s="26"/>
    </row>
    <row r="488">
      <c r="D488" s="26"/>
    </row>
    <row r="489">
      <c r="D489" s="26"/>
    </row>
    <row r="490">
      <c r="D490" s="26"/>
    </row>
    <row r="491">
      <c r="D491" s="26"/>
    </row>
    <row r="492">
      <c r="D492" s="26"/>
    </row>
    <row r="493">
      <c r="D493" s="26"/>
    </row>
    <row r="494">
      <c r="D494" s="26"/>
    </row>
    <row r="495">
      <c r="D495" s="26"/>
    </row>
    <row r="496">
      <c r="D496" s="26"/>
    </row>
    <row r="497">
      <c r="D497" s="26"/>
    </row>
    <row r="498">
      <c r="D498" s="26"/>
    </row>
    <row r="499">
      <c r="D499" s="26"/>
    </row>
    <row r="500">
      <c r="D500" s="26"/>
    </row>
    <row r="501">
      <c r="D501" s="26"/>
    </row>
    <row r="502">
      <c r="D502" s="26"/>
    </row>
    <row r="503">
      <c r="D503" s="26"/>
    </row>
    <row r="504">
      <c r="D504" s="26"/>
    </row>
    <row r="505">
      <c r="D505" s="26"/>
    </row>
    <row r="506">
      <c r="D506" s="26"/>
    </row>
    <row r="507">
      <c r="D507" s="26"/>
    </row>
    <row r="508">
      <c r="D508" s="26"/>
    </row>
    <row r="509">
      <c r="D509" s="26"/>
    </row>
    <row r="510">
      <c r="D510" s="26"/>
    </row>
    <row r="511">
      <c r="D511" s="26"/>
    </row>
    <row r="512">
      <c r="D512" s="26"/>
    </row>
    <row r="513">
      <c r="D513" s="26"/>
    </row>
    <row r="514">
      <c r="D514" s="26"/>
    </row>
    <row r="515">
      <c r="D515" s="26"/>
    </row>
    <row r="516">
      <c r="D516" s="26"/>
    </row>
    <row r="517">
      <c r="D517" s="26"/>
    </row>
    <row r="518">
      <c r="D518" s="26"/>
    </row>
    <row r="519">
      <c r="D519" s="26"/>
    </row>
    <row r="520">
      <c r="D520" s="26"/>
    </row>
    <row r="521">
      <c r="D521" s="26"/>
    </row>
    <row r="522">
      <c r="D522" s="26"/>
    </row>
    <row r="523">
      <c r="D523" s="26"/>
    </row>
    <row r="524">
      <c r="D524" s="26"/>
    </row>
    <row r="525">
      <c r="D525" s="26"/>
    </row>
    <row r="526">
      <c r="D526" s="26"/>
    </row>
    <row r="527">
      <c r="D527" s="26"/>
    </row>
    <row r="528">
      <c r="D528" s="26"/>
    </row>
    <row r="529">
      <c r="D529" s="26"/>
    </row>
    <row r="530">
      <c r="D530" s="26"/>
    </row>
    <row r="531">
      <c r="D531" s="26"/>
    </row>
    <row r="532">
      <c r="D532" s="26"/>
    </row>
    <row r="533">
      <c r="D533" s="26"/>
    </row>
    <row r="534">
      <c r="D534" s="26"/>
    </row>
    <row r="535">
      <c r="D535" s="26"/>
    </row>
    <row r="536">
      <c r="D536" s="26"/>
    </row>
    <row r="537">
      <c r="D537" s="26"/>
    </row>
    <row r="538">
      <c r="D538" s="26"/>
    </row>
    <row r="539">
      <c r="D539" s="26"/>
    </row>
    <row r="540">
      <c r="D540" s="26"/>
    </row>
    <row r="541">
      <c r="D541" s="26"/>
    </row>
    <row r="542">
      <c r="D542" s="26"/>
    </row>
    <row r="543">
      <c r="D543" s="26"/>
    </row>
    <row r="544">
      <c r="D544" s="26"/>
    </row>
    <row r="545">
      <c r="D545" s="26"/>
    </row>
    <row r="546">
      <c r="D546" s="26"/>
    </row>
    <row r="547">
      <c r="D547" s="26"/>
    </row>
    <row r="548">
      <c r="D548" s="26"/>
    </row>
    <row r="549">
      <c r="D549" s="26"/>
    </row>
    <row r="550">
      <c r="D550" s="26"/>
    </row>
    <row r="551">
      <c r="D551" s="26"/>
    </row>
    <row r="552">
      <c r="D552" s="26"/>
    </row>
    <row r="553">
      <c r="D553" s="26"/>
    </row>
    <row r="554">
      <c r="D554" s="26"/>
    </row>
    <row r="555">
      <c r="D555" s="26"/>
    </row>
    <row r="556">
      <c r="D556" s="26"/>
    </row>
    <row r="557">
      <c r="D557" s="26"/>
    </row>
    <row r="558">
      <c r="D558" s="26"/>
    </row>
    <row r="559">
      <c r="D559" s="26"/>
    </row>
    <row r="560">
      <c r="D560" s="26"/>
    </row>
    <row r="561">
      <c r="D561" s="26"/>
    </row>
    <row r="562">
      <c r="D562" s="26"/>
    </row>
    <row r="563">
      <c r="D563" s="26"/>
    </row>
    <row r="564">
      <c r="D564" s="26"/>
    </row>
    <row r="565">
      <c r="D565" s="26"/>
    </row>
    <row r="566">
      <c r="D566" s="26"/>
    </row>
    <row r="567">
      <c r="D567" s="26"/>
    </row>
    <row r="568">
      <c r="D568" s="26"/>
    </row>
    <row r="569">
      <c r="D569" s="26"/>
    </row>
    <row r="570">
      <c r="D570" s="26"/>
    </row>
    <row r="571">
      <c r="D571" s="26"/>
    </row>
    <row r="572">
      <c r="D572" s="26"/>
    </row>
    <row r="573">
      <c r="D573" s="26"/>
    </row>
    <row r="574">
      <c r="D574" s="26"/>
    </row>
    <row r="575">
      <c r="D575" s="26"/>
    </row>
    <row r="576">
      <c r="D576" s="26"/>
    </row>
    <row r="577">
      <c r="D577" s="26"/>
    </row>
    <row r="578">
      <c r="D578" s="26"/>
    </row>
    <row r="579">
      <c r="D579" s="26"/>
    </row>
    <row r="580">
      <c r="D580" s="26"/>
    </row>
    <row r="581">
      <c r="D581" s="26"/>
    </row>
    <row r="582">
      <c r="D582" s="26"/>
    </row>
    <row r="583">
      <c r="D583" s="26"/>
    </row>
    <row r="584">
      <c r="D584" s="26"/>
    </row>
    <row r="585">
      <c r="D585" s="26"/>
    </row>
    <row r="586">
      <c r="D586" s="26"/>
    </row>
    <row r="587">
      <c r="D587" s="26"/>
    </row>
    <row r="588">
      <c r="D588" s="26"/>
    </row>
    <row r="589">
      <c r="D589" s="26"/>
    </row>
    <row r="590">
      <c r="D590" s="26"/>
    </row>
    <row r="591">
      <c r="D591" s="26"/>
    </row>
    <row r="592">
      <c r="D592" s="26"/>
    </row>
    <row r="593">
      <c r="D593" s="26"/>
    </row>
    <row r="594">
      <c r="D594" s="26"/>
    </row>
    <row r="595">
      <c r="D595" s="26"/>
    </row>
    <row r="596">
      <c r="D596" s="26"/>
    </row>
    <row r="597">
      <c r="D597" s="26"/>
    </row>
    <row r="598">
      <c r="D598" s="26"/>
    </row>
    <row r="599">
      <c r="D599" s="26"/>
    </row>
    <row r="600">
      <c r="D600" s="26"/>
    </row>
    <row r="601">
      <c r="D601" s="26"/>
    </row>
    <row r="602">
      <c r="D602" s="26"/>
    </row>
    <row r="603">
      <c r="D603" s="26"/>
    </row>
    <row r="604">
      <c r="D604" s="26"/>
    </row>
    <row r="605">
      <c r="D605" s="26"/>
    </row>
    <row r="606">
      <c r="D606" s="26"/>
    </row>
    <row r="607">
      <c r="D607" s="26"/>
    </row>
    <row r="608">
      <c r="D608" s="26"/>
    </row>
    <row r="609">
      <c r="D609" s="26"/>
    </row>
    <row r="610">
      <c r="D610" s="26"/>
    </row>
    <row r="611">
      <c r="D611" s="26"/>
    </row>
    <row r="612">
      <c r="D612" s="26"/>
    </row>
    <row r="613">
      <c r="D613" s="26"/>
    </row>
    <row r="614">
      <c r="D614" s="26"/>
    </row>
    <row r="615">
      <c r="D615" s="26"/>
    </row>
    <row r="616">
      <c r="D616" s="26"/>
    </row>
    <row r="617">
      <c r="D617" s="26"/>
    </row>
    <row r="618">
      <c r="D618" s="26"/>
    </row>
    <row r="619">
      <c r="D619" s="26"/>
    </row>
    <row r="620">
      <c r="D620" s="26"/>
    </row>
    <row r="621">
      <c r="D621" s="26"/>
    </row>
    <row r="622">
      <c r="D622" s="26"/>
    </row>
    <row r="623">
      <c r="D623" s="26"/>
    </row>
    <row r="624">
      <c r="D624" s="26"/>
    </row>
    <row r="625">
      <c r="D625" s="26"/>
    </row>
    <row r="626">
      <c r="D626" s="26"/>
    </row>
    <row r="627">
      <c r="D627" s="26"/>
    </row>
    <row r="628">
      <c r="D628" s="26"/>
    </row>
    <row r="629">
      <c r="D629" s="26"/>
    </row>
    <row r="630">
      <c r="D630" s="26"/>
    </row>
    <row r="631">
      <c r="D631" s="26"/>
    </row>
    <row r="632">
      <c r="D632" s="26"/>
    </row>
    <row r="633">
      <c r="D633" s="26"/>
    </row>
    <row r="634">
      <c r="D634" s="26"/>
    </row>
    <row r="635">
      <c r="D635" s="26"/>
    </row>
    <row r="636">
      <c r="D636" s="26"/>
    </row>
    <row r="637">
      <c r="D637" s="26"/>
    </row>
    <row r="638">
      <c r="D638" s="26"/>
    </row>
    <row r="639">
      <c r="D639" s="26"/>
    </row>
    <row r="640">
      <c r="D640" s="26"/>
    </row>
    <row r="641">
      <c r="D641" s="26"/>
    </row>
    <row r="642">
      <c r="D642" s="26"/>
    </row>
    <row r="643">
      <c r="D643" s="26"/>
    </row>
    <row r="644">
      <c r="D644" s="26"/>
    </row>
    <row r="645">
      <c r="D645" s="26"/>
    </row>
    <row r="646">
      <c r="D646" s="26"/>
    </row>
    <row r="647">
      <c r="D647" s="26"/>
    </row>
    <row r="648">
      <c r="D648" s="26"/>
    </row>
    <row r="649">
      <c r="D649" s="26"/>
    </row>
    <row r="650">
      <c r="D650" s="26"/>
    </row>
    <row r="651">
      <c r="D651" s="26"/>
    </row>
    <row r="652">
      <c r="D652" s="26"/>
    </row>
    <row r="653">
      <c r="D653" s="26"/>
    </row>
    <row r="654">
      <c r="D654" s="26"/>
    </row>
    <row r="655">
      <c r="D655" s="26"/>
    </row>
    <row r="656">
      <c r="D656" s="26"/>
    </row>
    <row r="657">
      <c r="D657" s="26"/>
    </row>
    <row r="658">
      <c r="D658" s="26"/>
    </row>
    <row r="659">
      <c r="D659" s="26"/>
    </row>
    <row r="660">
      <c r="D660" s="26"/>
    </row>
    <row r="661">
      <c r="D661" s="26"/>
    </row>
    <row r="662">
      <c r="D662" s="26"/>
    </row>
    <row r="663">
      <c r="D663" s="26"/>
    </row>
    <row r="664">
      <c r="D664" s="26"/>
    </row>
    <row r="665">
      <c r="D665" s="26"/>
    </row>
    <row r="666">
      <c r="D666" s="26"/>
    </row>
    <row r="667">
      <c r="D667" s="26"/>
    </row>
    <row r="668">
      <c r="D668" s="26"/>
    </row>
    <row r="669">
      <c r="D669" s="26"/>
    </row>
    <row r="670">
      <c r="D670" s="26"/>
    </row>
    <row r="671">
      <c r="D671" s="26"/>
    </row>
    <row r="672">
      <c r="D672" s="26"/>
    </row>
    <row r="673">
      <c r="D673" s="26"/>
    </row>
    <row r="674">
      <c r="D674" s="26"/>
    </row>
    <row r="675">
      <c r="D675" s="26"/>
    </row>
    <row r="676">
      <c r="D676" s="26"/>
    </row>
    <row r="677">
      <c r="D677" s="26"/>
    </row>
    <row r="678">
      <c r="D678" s="26"/>
    </row>
    <row r="679">
      <c r="D679" s="26"/>
    </row>
    <row r="680">
      <c r="D680" s="26"/>
    </row>
    <row r="681">
      <c r="D681" s="26"/>
    </row>
    <row r="682">
      <c r="D682" s="26"/>
    </row>
    <row r="683">
      <c r="D683" s="26"/>
    </row>
    <row r="684">
      <c r="D684" s="26"/>
    </row>
    <row r="685">
      <c r="D685" s="26"/>
    </row>
    <row r="686">
      <c r="D686" s="26"/>
    </row>
    <row r="687">
      <c r="D687" s="26"/>
    </row>
    <row r="688">
      <c r="D688" s="26"/>
    </row>
    <row r="689">
      <c r="D689" s="26"/>
    </row>
    <row r="690">
      <c r="D690" s="26"/>
    </row>
    <row r="691">
      <c r="D691" s="26"/>
    </row>
    <row r="692">
      <c r="D692" s="26"/>
    </row>
    <row r="693">
      <c r="D693" s="26"/>
    </row>
    <row r="694">
      <c r="D694" s="26"/>
    </row>
    <row r="695">
      <c r="D695" s="26"/>
    </row>
    <row r="696">
      <c r="D696" s="26"/>
    </row>
    <row r="697">
      <c r="D697" s="26"/>
    </row>
    <row r="698">
      <c r="D698" s="26"/>
    </row>
    <row r="699">
      <c r="D699" s="26"/>
    </row>
    <row r="700">
      <c r="D700" s="26"/>
    </row>
    <row r="701">
      <c r="D701" s="26"/>
    </row>
    <row r="702">
      <c r="D702" s="26"/>
    </row>
    <row r="703">
      <c r="D703" s="26"/>
    </row>
    <row r="704">
      <c r="D704" s="26"/>
    </row>
    <row r="705">
      <c r="D705" s="26"/>
    </row>
    <row r="706">
      <c r="D706" s="26"/>
    </row>
    <row r="707">
      <c r="D707" s="26"/>
    </row>
    <row r="708">
      <c r="D708" s="26"/>
    </row>
    <row r="709">
      <c r="D709" s="26"/>
    </row>
    <row r="710">
      <c r="D710" s="26"/>
    </row>
    <row r="711">
      <c r="D711" s="26"/>
    </row>
    <row r="712">
      <c r="D712" s="26"/>
    </row>
    <row r="713">
      <c r="D713" s="26"/>
    </row>
    <row r="714">
      <c r="D714" s="26"/>
    </row>
    <row r="715">
      <c r="D715" s="26"/>
    </row>
    <row r="716">
      <c r="D716" s="26"/>
    </row>
    <row r="717">
      <c r="D717" s="26"/>
    </row>
    <row r="718">
      <c r="D718" s="26"/>
    </row>
    <row r="719">
      <c r="D719" s="26"/>
    </row>
    <row r="720">
      <c r="D720" s="26"/>
    </row>
    <row r="721">
      <c r="D721" s="26"/>
    </row>
    <row r="722">
      <c r="D722" s="26"/>
    </row>
    <row r="723">
      <c r="D723" s="26"/>
    </row>
    <row r="724">
      <c r="D724" s="26"/>
    </row>
    <row r="725">
      <c r="D725" s="26"/>
    </row>
    <row r="726">
      <c r="D726" s="26"/>
    </row>
    <row r="727">
      <c r="D727" s="26"/>
    </row>
    <row r="728">
      <c r="D728" s="26"/>
    </row>
    <row r="729">
      <c r="D729" s="26"/>
    </row>
    <row r="730">
      <c r="D730" s="26"/>
    </row>
    <row r="731">
      <c r="D731" s="26"/>
    </row>
    <row r="732">
      <c r="D732" s="26"/>
    </row>
    <row r="733">
      <c r="D733" s="26"/>
    </row>
    <row r="734">
      <c r="D734" s="26"/>
    </row>
    <row r="735">
      <c r="D735" s="26"/>
    </row>
    <row r="736">
      <c r="D736" s="26"/>
    </row>
    <row r="737">
      <c r="D737" s="26"/>
    </row>
    <row r="738">
      <c r="D738" s="26"/>
    </row>
    <row r="739">
      <c r="D739" s="26"/>
    </row>
    <row r="740">
      <c r="D740" s="26"/>
    </row>
    <row r="741">
      <c r="D741" s="26"/>
    </row>
    <row r="742">
      <c r="D742" s="26"/>
    </row>
    <row r="743">
      <c r="D743" s="26"/>
    </row>
    <row r="744">
      <c r="D744" s="26"/>
    </row>
    <row r="745">
      <c r="D745" s="26"/>
    </row>
    <row r="746">
      <c r="D746" s="26"/>
    </row>
    <row r="747">
      <c r="D747" s="26"/>
    </row>
    <row r="748">
      <c r="D748" s="26"/>
    </row>
    <row r="749">
      <c r="D749" s="26"/>
    </row>
    <row r="750">
      <c r="D750" s="26"/>
    </row>
    <row r="751">
      <c r="D751" s="26"/>
    </row>
    <row r="752">
      <c r="D752" s="26"/>
    </row>
    <row r="753">
      <c r="D753" s="26"/>
    </row>
    <row r="754">
      <c r="D754" s="26"/>
    </row>
    <row r="755">
      <c r="D755" s="26"/>
    </row>
    <row r="756">
      <c r="D756" s="26"/>
    </row>
    <row r="757">
      <c r="D757" s="26"/>
    </row>
    <row r="758">
      <c r="D758" s="26"/>
    </row>
    <row r="759">
      <c r="D759" s="26"/>
    </row>
    <row r="760">
      <c r="D760" s="26"/>
    </row>
    <row r="761">
      <c r="D761" s="26"/>
    </row>
    <row r="762">
      <c r="D762" s="26"/>
    </row>
    <row r="763">
      <c r="D763" s="26"/>
    </row>
    <row r="764">
      <c r="D764" s="26"/>
    </row>
    <row r="765">
      <c r="D765" s="26"/>
    </row>
    <row r="766">
      <c r="D766" s="26"/>
    </row>
    <row r="767">
      <c r="D767" s="26"/>
    </row>
    <row r="768">
      <c r="D768" s="26"/>
    </row>
    <row r="769">
      <c r="D769" s="26"/>
    </row>
    <row r="770">
      <c r="D770" s="26"/>
    </row>
    <row r="771">
      <c r="D771" s="26"/>
    </row>
    <row r="772">
      <c r="D772" s="26"/>
    </row>
    <row r="773">
      <c r="D773" s="26"/>
    </row>
    <row r="774">
      <c r="D774" s="26"/>
    </row>
    <row r="775">
      <c r="D775" s="26"/>
    </row>
    <row r="776">
      <c r="D776" s="26"/>
    </row>
    <row r="777">
      <c r="D777" s="26"/>
    </row>
    <row r="778">
      <c r="D778" s="26"/>
    </row>
    <row r="779">
      <c r="D779" s="26"/>
    </row>
    <row r="780">
      <c r="D780" s="26"/>
    </row>
    <row r="781">
      <c r="D781" s="26"/>
    </row>
    <row r="782">
      <c r="D782" s="26"/>
    </row>
    <row r="783">
      <c r="D783" s="26"/>
    </row>
    <row r="784">
      <c r="D784" s="26"/>
    </row>
    <row r="785">
      <c r="D785" s="26"/>
    </row>
    <row r="786">
      <c r="D786" s="26"/>
    </row>
    <row r="787">
      <c r="D787" s="26"/>
    </row>
    <row r="788">
      <c r="D788" s="26"/>
    </row>
    <row r="789">
      <c r="D789" s="26"/>
    </row>
    <row r="790">
      <c r="D790" s="26"/>
    </row>
    <row r="791">
      <c r="D791" s="26"/>
    </row>
    <row r="792">
      <c r="D792" s="26"/>
    </row>
    <row r="793">
      <c r="D793" s="26"/>
    </row>
    <row r="794">
      <c r="D794" s="26"/>
    </row>
    <row r="795">
      <c r="D795" s="26"/>
    </row>
    <row r="796">
      <c r="D796" s="26"/>
    </row>
    <row r="797">
      <c r="D797" s="26"/>
    </row>
    <row r="798">
      <c r="D798" s="26"/>
    </row>
    <row r="799">
      <c r="D799" s="26"/>
    </row>
    <row r="800">
      <c r="D800" s="26"/>
    </row>
    <row r="801">
      <c r="D801" s="26"/>
    </row>
    <row r="802">
      <c r="D802" s="26"/>
    </row>
    <row r="803">
      <c r="D803" s="26"/>
    </row>
    <row r="804">
      <c r="D804" s="26"/>
    </row>
    <row r="805">
      <c r="D805" s="26"/>
    </row>
    <row r="806">
      <c r="D806" s="26"/>
    </row>
    <row r="807">
      <c r="D807" s="26"/>
    </row>
    <row r="808">
      <c r="D808" s="26"/>
    </row>
    <row r="809">
      <c r="D809" s="26"/>
    </row>
    <row r="810">
      <c r="D810" s="26"/>
    </row>
    <row r="811">
      <c r="D811" s="26"/>
    </row>
    <row r="812">
      <c r="D812" s="26"/>
    </row>
    <row r="813">
      <c r="D813" s="26"/>
    </row>
    <row r="814">
      <c r="D814" s="26"/>
    </row>
    <row r="815">
      <c r="D815" s="26"/>
    </row>
    <row r="816">
      <c r="D816" s="26"/>
    </row>
    <row r="817">
      <c r="D817" s="26"/>
    </row>
    <row r="818">
      <c r="D818" s="26"/>
    </row>
    <row r="819">
      <c r="D819" s="26"/>
    </row>
    <row r="820">
      <c r="D820" s="26"/>
    </row>
    <row r="821">
      <c r="D821" s="26"/>
    </row>
    <row r="822">
      <c r="D822" s="26"/>
    </row>
    <row r="823">
      <c r="D823" s="26"/>
    </row>
    <row r="824">
      <c r="D824" s="26"/>
    </row>
    <row r="825">
      <c r="D825" s="26"/>
    </row>
    <row r="826">
      <c r="D826" s="26"/>
    </row>
    <row r="827">
      <c r="D827" s="26"/>
    </row>
    <row r="828">
      <c r="D828" s="26"/>
    </row>
    <row r="829">
      <c r="D829" s="26"/>
    </row>
    <row r="830">
      <c r="D830" s="26"/>
    </row>
    <row r="831">
      <c r="D831" s="26"/>
    </row>
    <row r="832">
      <c r="D832" s="26"/>
    </row>
    <row r="833">
      <c r="D833" s="26"/>
    </row>
    <row r="834">
      <c r="D834" s="26"/>
    </row>
    <row r="835">
      <c r="D835" s="26"/>
    </row>
    <row r="836">
      <c r="D836" s="26"/>
    </row>
    <row r="837">
      <c r="D837" s="26"/>
    </row>
    <row r="838">
      <c r="D838" s="26"/>
    </row>
    <row r="839">
      <c r="D839" s="26"/>
    </row>
    <row r="840">
      <c r="D840" s="26"/>
    </row>
    <row r="841">
      <c r="D841" s="26"/>
    </row>
    <row r="842">
      <c r="D842" s="26"/>
    </row>
    <row r="843">
      <c r="D843" s="26"/>
    </row>
    <row r="844">
      <c r="D844" s="26"/>
    </row>
    <row r="845">
      <c r="D845" s="26"/>
    </row>
    <row r="846">
      <c r="D846" s="26"/>
    </row>
    <row r="847">
      <c r="D847" s="26"/>
    </row>
    <row r="848">
      <c r="D848" s="26"/>
    </row>
    <row r="849">
      <c r="D849" s="26"/>
    </row>
    <row r="850">
      <c r="D850" s="26"/>
    </row>
    <row r="851">
      <c r="D851" s="26"/>
    </row>
    <row r="852">
      <c r="D852" s="26"/>
    </row>
    <row r="853">
      <c r="D853" s="26"/>
    </row>
    <row r="854">
      <c r="D854" s="26"/>
    </row>
    <row r="855">
      <c r="D855" s="26"/>
    </row>
    <row r="856">
      <c r="D856" s="26"/>
    </row>
    <row r="857">
      <c r="D857" s="26"/>
    </row>
    <row r="858">
      <c r="D858" s="26"/>
    </row>
    <row r="859">
      <c r="D859" s="26"/>
    </row>
    <row r="860">
      <c r="D860" s="26"/>
    </row>
    <row r="861">
      <c r="D861" s="26"/>
    </row>
    <row r="862">
      <c r="D862" s="26"/>
    </row>
    <row r="863">
      <c r="D863" s="26"/>
    </row>
    <row r="864">
      <c r="D864" s="26"/>
    </row>
    <row r="865">
      <c r="D865" s="26"/>
    </row>
    <row r="866">
      <c r="D866" s="26"/>
    </row>
    <row r="867">
      <c r="D867" s="26"/>
    </row>
    <row r="868">
      <c r="D868" s="26"/>
    </row>
    <row r="869">
      <c r="D869" s="26"/>
    </row>
    <row r="870">
      <c r="D870" s="26"/>
    </row>
    <row r="871">
      <c r="D871" s="26"/>
    </row>
    <row r="872">
      <c r="D872" s="26"/>
    </row>
    <row r="873">
      <c r="D873" s="26"/>
    </row>
    <row r="874">
      <c r="D874" s="26"/>
    </row>
    <row r="875">
      <c r="D875" s="26"/>
    </row>
    <row r="876">
      <c r="D876" s="26"/>
    </row>
    <row r="877">
      <c r="D877" s="26"/>
    </row>
    <row r="878">
      <c r="D878" s="26"/>
    </row>
    <row r="879">
      <c r="D879" s="26"/>
    </row>
    <row r="880">
      <c r="D880" s="26"/>
    </row>
    <row r="881">
      <c r="D881" s="26"/>
    </row>
    <row r="882">
      <c r="D882" s="26"/>
    </row>
    <row r="883">
      <c r="D883" s="26"/>
    </row>
    <row r="884">
      <c r="D884" s="26"/>
    </row>
    <row r="885">
      <c r="D885" s="26"/>
    </row>
    <row r="886">
      <c r="D886" s="26"/>
    </row>
    <row r="887">
      <c r="D887" s="26"/>
    </row>
    <row r="888">
      <c r="D888" s="26"/>
    </row>
    <row r="889">
      <c r="D889" s="26"/>
    </row>
    <row r="890">
      <c r="D890" s="26"/>
    </row>
    <row r="891">
      <c r="D891" s="26"/>
    </row>
    <row r="892">
      <c r="D892" s="26"/>
    </row>
    <row r="893">
      <c r="D893" s="26"/>
    </row>
    <row r="894">
      <c r="D894" s="26"/>
    </row>
    <row r="895">
      <c r="D895" s="26"/>
    </row>
    <row r="896">
      <c r="D896" s="26"/>
    </row>
    <row r="897">
      <c r="D897" s="26"/>
    </row>
    <row r="898">
      <c r="D898" s="26"/>
    </row>
    <row r="899">
      <c r="D899" s="26"/>
    </row>
    <row r="900">
      <c r="D900" s="26"/>
    </row>
    <row r="901">
      <c r="D901" s="26"/>
    </row>
    <row r="902">
      <c r="D902" s="26"/>
    </row>
    <row r="903">
      <c r="D903" s="26"/>
    </row>
    <row r="904">
      <c r="D904" s="26"/>
    </row>
    <row r="905">
      <c r="D905" s="26"/>
    </row>
    <row r="906">
      <c r="D906" s="26"/>
    </row>
    <row r="907">
      <c r="D907" s="26"/>
    </row>
    <row r="908">
      <c r="D908" s="26"/>
    </row>
    <row r="909">
      <c r="D909" s="26"/>
    </row>
    <row r="910">
      <c r="D910" s="26"/>
    </row>
    <row r="911">
      <c r="D911" s="26"/>
    </row>
    <row r="912">
      <c r="D912" s="26"/>
    </row>
    <row r="913">
      <c r="D913" s="26"/>
    </row>
    <row r="914">
      <c r="D914" s="26"/>
    </row>
    <row r="915">
      <c r="D915" s="26"/>
    </row>
    <row r="916">
      <c r="D916" s="26"/>
    </row>
    <row r="917">
      <c r="D917" s="26"/>
    </row>
    <row r="918">
      <c r="D918" s="26"/>
    </row>
    <row r="919">
      <c r="D919" s="26"/>
    </row>
    <row r="920">
      <c r="D920" s="26"/>
    </row>
    <row r="921">
      <c r="D921" s="26"/>
    </row>
    <row r="922">
      <c r="D922" s="26"/>
    </row>
    <row r="923">
      <c r="D923" s="26"/>
    </row>
    <row r="924">
      <c r="D924" s="26"/>
    </row>
    <row r="925">
      <c r="D925" s="26"/>
    </row>
    <row r="926">
      <c r="D926" s="26"/>
    </row>
    <row r="927">
      <c r="D927" s="26"/>
    </row>
    <row r="928">
      <c r="D928" s="26"/>
    </row>
    <row r="929">
      <c r="D929" s="26"/>
    </row>
    <row r="930">
      <c r="D930" s="26"/>
    </row>
    <row r="931">
      <c r="D931" s="26"/>
    </row>
    <row r="932">
      <c r="D932" s="26"/>
    </row>
    <row r="933">
      <c r="D933" s="26"/>
    </row>
    <row r="934">
      <c r="D934" s="26"/>
    </row>
    <row r="935">
      <c r="D935" s="26"/>
    </row>
    <row r="936">
      <c r="D936" s="26"/>
    </row>
    <row r="937">
      <c r="D937" s="26"/>
    </row>
    <row r="938">
      <c r="D938" s="26"/>
    </row>
    <row r="939">
      <c r="D939" s="26"/>
    </row>
    <row r="940">
      <c r="D940" s="26"/>
    </row>
    <row r="941">
      <c r="D941" s="26"/>
    </row>
    <row r="942">
      <c r="D942" s="26"/>
    </row>
    <row r="943">
      <c r="D943" s="26"/>
    </row>
    <row r="944">
      <c r="D944" s="26"/>
    </row>
    <row r="945">
      <c r="D945" s="26"/>
    </row>
    <row r="946">
      <c r="D946" s="26"/>
    </row>
    <row r="947">
      <c r="D947" s="26"/>
    </row>
    <row r="948">
      <c r="D948" s="26"/>
    </row>
    <row r="949">
      <c r="D949" s="26"/>
    </row>
    <row r="950">
      <c r="D950" s="26"/>
    </row>
    <row r="951">
      <c r="D951" s="26"/>
    </row>
    <row r="952">
      <c r="D952" s="26"/>
    </row>
    <row r="953">
      <c r="D953" s="26"/>
    </row>
    <row r="954">
      <c r="D954" s="26"/>
    </row>
    <row r="955">
      <c r="D955" s="26"/>
    </row>
    <row r="956">
      <c r="D956" s="26"/>
    </row>
    <row r="957">
      <c r="D957" s="26"/>
    </row>
    <row r="958">
      <c r="D958" s="26"/>
    </row>
    <row r="959">
      <c r="D959" s="26"/>
    </row>
    <row r="960">
      <c r="D960" s="26"/>
    </row>
    <row r="961">
      <c r="D961" s="26"/>
    </row>
    <row r="962">
      <c r="D962" s="26"/>
    </row>
    <row r="963">
      <c r="D963" s="26"/>
    </row>
    <row r="964">
      <c r="D964" s="26"/>
    </row>
    <row r="965">
      <c r="D965" s="26"/>
    </row>
    <row r="966">
      <c r="D966" s="26"/>
    </row>
    <row r="967">
      <c r="D967" s="26"/>
    </row>
    <row r="968">
      <c r="D968" s="26"/>
    </row>
    <row r="969">
      <c r="D969" s="26"/>
    </row>
    <row r="970">
      <c r="D970" s="26"/>
    </row>
    <row r="971">
      <c r="D971" s="26"/>
    </row>
    <row r="972">
      <c r="D972" s="26"/>
    </row>
    <row r="973">
      <c r="D973" s="26"/>
    </row>
    <row r="974">
      <c r="D974" s="26"/>
    </row>
    <row r="975">
      <c r="D975" s="26"/>
    </row>
    <row r="976">
      <c r="D976" s="26"/>
    </row>
    <row r="977">
      <c r="D977" s="26"/>
    </row>
    <row r="978">
      <c r="D978" s="26"/>
    </row>
    <row r="979">
      <c r="D979" s="26"/>
    </row>
    <row r="980">
      <c r="D980" s="26"/>
    </row>
    <row r="981">
      <c r="D981" s="26"/>
    </row>
    <row r="982">
      <c r="D982" s="26"/>
    </row>
    <row r="983">
      <c r="D983" s="26"/>
    </row>
    <row r="984">
      <c r="D984" s="26"/>
    </row>
    <row r="985">
      <c r="D985" s="26"/>
    </row>
    <row r="986">
      <c r="D986" s="26"/>
    </row>
    <row r="987">
      <c r="D987" s="26"/>
    </row>
    <row r="988">
      <c r="D988" s="26"/>
    </row>
    <row r="989">
      <c r="D989" s="26"/>
    </row>
    <row r="990">
      <c r="D990" s="26"/>
    </row>
    <row r="991">
      <c r="D991" s="26"/>
    </row>
    <row r="992">
      <c r="D992" s="26"/>
    </row>
    <row r="993">
      <c r="D993" s="26"/>
    </row>
    <row r="994">
      <c r="D994" s="26"/>
    </row>
    <row r="995">
      <c r="D995" s="26"/>
    </row>
    <row r="996">
      <c r="D996" s="26"/>
    </row>
    <row r="997">
      <c r="D997" s="26"/>
    </row>
    <row r="998">
      <c r="D998" s="26"/>
    </row>
    <row r="999">
      <c r="D999" s="26"/>
    </row>
    <row r="1000">
      <c r="D1000" s="26"/>
    </row>
    <row r="1001">
      <c r="D1001" s="26"/>
    </row>
    <row r="1002">
      <c r="D1002" s="26"/>
    </row>
    <row r="1003">
      <c r="D1003" s="26"/>
    </row>
    <row r="1004">
      <c r="D1004" s="26"/>
    </row>
    <row r="1005">
      <c r="D1005" s="26"/>
    </row>
    <row r="1006">
      <c r="D1006" s="26"/>
    </row>
    <row r="1007">
      <c r="D1007" s="26"/>
    </row>
    <row r="1008">
      <c r="D1008" s="26"/>
    </row>
    <row r="1009">
      <c r="D1009" s="26"/>
    </row>
    <row r="1010">
      <c r="D1010" s="26"/>
    </row>
    <row r="1011">
      <c r="D1011" s="26"/>
    </row>
    <row r="1012">
      <c r="D1012" s="26"/>
    </row>
    <row r="1013">
      <c r="D1013" s="26"/>
    </row>
    <row r="1014">
      <c r="D1014" s="26"/>
    </row>
    <row r="1015">
      <c r="D1015" s="26"/>
    </row>
    <row r="1016">
      <c r="D1016" s="26"/>
    </row>
    <row r="1017">
      <c r="D1017" s="26"/>
    </row>
    <row r="1018">
      <c r="D1018" s="26"/>
    </row>
    <row r="1019">
      <c r="D1019" s="26"/>
    </row>
    <row r="1020">
      <c r="D1020" s="26"/>
    </row>
    <row r="1021">
      <c r="D1021" s="26"/>
    </row>
    <row r="1022">
      <c r="D1022" s="26"/>
    </row>
    <row r="1023">
      <c r="D1023" s="26"/>
    </row>
    <row r="1024">
      <c r="D1024" s="26"/>
    </row>
    <row r="1025">
      <c r="D1025" s="26"/>
    </row>
    <row r="1026">
      <c r="D1026" s="26"/>
    </row>
    <row r="1027">
      <c r="D1027" s="26"/>
    </row>
    <row r="1028">
      <c r="D1028" s="26"/>
    </row>
    <row r="1029">
      <c r="D1029" s="26"/>
    </row>
    <row r="1030">
      <c r="D1030" s="26"/>
    </row>
    <row r="1031">
      <c r="D1031" s="26"/>
    </row>
    <row r="1032">
      <c r="D1032" s="26"/>
    </row>
    <row r="1033">
      <c r="D1033" s="26"/>
    </row>
    <row r="1034">
      <c r="D1034" s="26"/>
    </row>
    <row r="1035">
      <c r="D1035" s="26"/>
    </row>
    <row r="1036">
      <c r="D1036" s="26"/>
    </row>
    <row r="1037">
      <c r="D1037" s="26"/>
    </row>
    <row r="1038">
      <c r="D1038" s="26"/>
    </row>
    <row r="1039">
      <c r="D1039" s="26"/>
    </row>
    <row r="1040">
      <c r="D1040" s="26"/>
    </row>
    <row r="1041">
      <c r="D1041" s="26"/>
    </row>
    <row r="1042">
      <c r="D1042" s="26"/>
    </row>
    <row r="1043">
      <c r="D1043" s="26"/>
    </row>
    <row r="1044">
      <c r="D1044" s="26"/>
    </row>
    <row r="1045">
      <c r="D1045" s="26"/>
    </row>
    <row r="1046">
      <c r="D1046" s="26"/>
    </row>
    <row r="1047">
      <c r="D1047" s="26"/>
    </row>
    <row r="1048">
      <c r="D1048" s="26"/>
    </row>
    <row r="1049">
      <c r="D1049" s="26"/>
    </row>
    <row r="1050">
      <c r="D1050" s="26"/>
    </row>
    <row r="1051">
      <c r="D1051" s="26"/>
    </row>
    <row r="1052">
      <c r="D1052" s="26"/>
    </row>
    <row r="1053">
      <c r="D1053" s="26"/>
    </row>
    <row r="1054">
      <c r="D1054" s="26"/>
    </row>
    <row r="1055">
      <c r="D1055" s="26"/>
    </row>
    <row r="1056">
      <c r="D1056" s="26"/>
    </row>
    <row r="1057">
      <c r="D1057" s="26"/>
    </row>
    <row r="1058">
      <c r="D1058" s="26"/>
    </row>
    <row r="1059">
      <c r="D1059" s="26"/>
    </row>
    <row r="1060">
      <c r="D1060" s="26"/>
    </row>
    <row r="1061">
      <c r="D1061" s="26"/>
    </row>
    <row r="1062">
      <c r="D1062" s="26"/>
    </row>
    <row r="1063">
      <c r="D1063" s="26"/>
    </row>
    <row r="1064">
      <c r="D1064" s="26"/>
    </row>
    <row r="1065">
      <c r="D1065" s="26"/>
    </row>
    <row r="1066">
      <c r="D1066" s="26"/>
    </row>
    <row r="1067">
      <c r="D1067" s="26"/>
    </row>
    <row r="1068">
      <c r="D1068" s="26"/>
    </row>
    <row r="1069">
      <c r="D1069" s="26"/>
    </row>
    <row r="1070">
      <c r="D1070" s="26"/>
    </row>
    <row r="1071">
      <c r="D1071" s="26"/>
    </row>
    <row r="1072">
      <c r="D1072" s="26"/>
    </row>
    <row r="1073">
      <c r="D1073" s="26"/>
    </row>
    <row r="1074">
      <c r="D1074" s="26"/>
    </row>
    <row r="1075">
      <c r="D1075" s="26"/>
    </row>
    <row r="1076">
      <c r="D1076" s="26"/>
    </row>
    <row r="1077">
      <c r="D1077" s="26"/>
    </row>
    <row r="1078">
      <c r="D1078" s="26"/>
    </row>
    <row r="1079">
      <c r="D1079" s="26"/>
    </row>
    <row r="1080">
      <c r="D1080" s="26"/>
    </row>
    <row r="1081">
      <c r="D1081" s="26"/>
    </row>
    <row r="1082">
      <c r="D1082" s="26"/>
    </row>
    <row r="1083">
      <c r="D1083" s="26"/>
    </row>
    <row r="1084">
      <c r="D1084" s="26"/>
    </row>
    <row r="1085">
      <c r="D1085" s="26"/>
    </row>
    <row r="1086">
      <c r="D1086" s="26"/>
    </row>
    <row r="1087">
      <c r="D1087" s="26"/>
    </row>
    <row r="1088">
      <c r="D1088" s="26"/>
    </row>
    <row r="1089">
      <c r="D1089" s="26"/>
    </row>
    <row r="1090">
      <c r="D1090" s="26"/>
    </row>
    <row r="1091">
      <c r="D1091" s="26"/>
    </row>
    <row r="1092">
      <c r="D1092" s="26"/>
    </row>
    <row r="1093">
      <c r="D1093" s="26"/>
    </row>
    <row r="1094">
      <c r="D1094" s="26"/>
    </row>
    <row r="1095">
      <c r="D1095" s="26"/>
    </row>
    <row r="1096">
      <c r="D1096" s="26"/>
    </row>
    <row r="1097">
      <c r="D1097" s="26"/>
    </row>
    <row r="1098">
      <c r="D1098" s="26"/>
    </row>
    <row r="1099">
      <c r="D1099" s="26"/>
    </row>
    <row r="1100">
      <c r="D1100" s="26"/>
    </row>
    <row r="1101">
      <c r="D1101" s="26"/>
    </row>
    <row r="1102">
      <c r="D1102" s="26"/>
    </row>
    <row r="1103">
      <c r="D1103" s="26"/>
    </row>
    <row r="1104">
      <c r="D1104" s="26"/>
    </row>
    <row r="1105">
      <c r="D1105" s="26"/>
    </row>
    <row r="1106">
      <c r="D1106" s="26"/>
    </row>
    <row r="1107">
      <c r="D1107" s="26"/>
    </row>
    <row r="1108">
      <c r="D1108" s="26"/>
    </row>
    <row r="1109">
      <c r="D1109" s="26"/>
    </row>
    <row r="1110">
      <c r="D1110" s="26"/>
    </row>
    <row r="1111">
      <c r="D1111" s="26"/>
    </row>
    <row r="1112">
      <c r="D1112" s="26"/>
    </row>
    <row r="1113">
      <c r="D1113" s="26"/>
    </row>
    <row r="1114">
      <c r="D1114" s="26"/>
    </row>
    <row r="1115">
      <c r="D1115" s="26"/>
    </row>
    <row r="1116">
      <c r="D1116" s="26"/>
    </row>
    <row r="1117">
      <c r="D1117" s="26"/>
    </row>
    <row r="1118">
      <c r="D1118" s="26"/>
    </row>
    <row r="1119">
      <c r="D1119" s="26"/>
    </row>
    <row r="1120">
      <c r="D1120" s="26"/>
    </row>
    <row r="1121">
      <c r="D1121" s="26"/>
    </row>
    <row r="1122">
      <c r="D1122" s="26"/>
    </row>
    <row r="1123">
      <c r="D1123" s="26"/>
    </row>
    <row r="1124">
      <c r="D1124" s="26"/>
    </row>
    <row r="1125">
      <c r="D1125" s="26"/>
    </row>
    <row r="1126">
      <c r="D1126" s="26"/>
    </row>
    <row r="1127">
      <c r="D1127" s="26"/>
    </row>
    <row r="1128">
      <c r="D1128" s="26"/>
    </row>
    <row r="1129">
      <c r="D1129" s="26"/>
    </row>
    <row r="1130">
      <c r="D1130" s="26"/>
    </row>
    <row r="1131">
      <c r="D1131" s="26"/>
    </row>
    <row r="1132">
      <c r="D1132" s="26"/>
    </row>
    <row r="1133">
      <c r="D1133" s="26"/>
    </row>
    <row r="1134">
      <c r="D1134" s="26"/>
    </row>
    <row r="1135">
      <c r="D1135" s="26"/>
    </row>
    <row r="1136">
      <c r="D1136" s="26"/>
    </row>
    <row r="1137">
      <c r="D1137" s="26"/>
    </row>
    <row r="1138">
      <c r="D1138" s="26"/>
    </row>
    <row r="1139">
      <c r="D1139" s="26"/>
    </row>
    <row r="1140">
      <c r="D1140" s="26"/>
    </row>
    <row r="1141">
      <c r="D1141" s="26"/>
    </row>
    <row r="1142">
      <c r="D1142" s="26"/>
    </row>
    <row r="1143">
      <c r="D1143" s="26"/>
    </row>
    <row r="1144">
      <c r="D1144" s="26"/>
    </row>
    <row r="1145">
      <c r="D1145" s="26"/>
    </row>
    <row r="1146">
      <c r="D1146" s="26"/>
    </row>
    <row r="1147">
      <c r="D1147" s="26"/>
    </row>
    <row r="1148">
      <c r="D1148" s="26"/>
    </row>
    <row r="1149">
      <c r="D1149" s="26"/>
    </row>
    <row r="1150">
      <c r="D1150" s="26"/>
    </row>
    <row r="1151">
      <c r="D1151" s="26"/>
    </row>
    <row r="1152">
      <c r="D1152" s="26"/>
    </row>
    <row r="1153">
      <c r="D1153" s="26"/>
    </row>
    <row r="1154">
      <c r="D1154" s="26"/>
    </row>
    <row r="1155">
      <c r="D1155" s="26"/>
    </row>
    <row r="1156">
      <c r="D1156" s="26"/>
    </row>
    <row r="1157">
      <c r="D1157" s="26"/>
    </row>
    <row r="1158">
      <c r="D1158" s="26"/>
    </row>
    <row r="1159">
      <c r="D1159" s="26"/>
    </row>
    <row r="1160">
      <c r="D1160" s="26"/>
    </row>
    <row r="1161">
      <c r="D1161" s="26"/>
    </row>
    <row r="1162">
      <c r="D1162" s="26"/>
    </row>
    <row r="1163">
      <c r="D1163" s="26"/>
    </row>
    <row r="1164">
      <c r="D1164" s="26"/>
    </row>
    <row r="1165">
      <c r="D1165" s="26"/>
    </row>
    <row r="1166">
      <c r="D1166" s="26"/>
    </row>
    <row r="1167">
      <c r="D1167" s="26"/>
    </row>
    <row r="1168">
      <c r="D1168" s="26"/>
    </row>
    <row r="1169">
      <c r="D1169" s="26"/>
    </row>
    <row r="1170">
      <c r="D1170" s="26"/>
    </row>
    <row r="1171">
      <c r="D1171" s="26"/>
    </row>
    <row r="1172">
      <c r="D1172" s="26"/>
    </row>
    <row r="1173">
      <c r="D1173" s="26"/>
    </row>
    <row r="1174">
      <c r="D1174" s="26"/>
    </row>
    <row r="1175">
      <c r="D1175" s="26"/>
    </row>
    <row r="1176">
      <c r="D1176" s="26"/>
    </row>
    <row r="1177">
      <c r="D1177" s="26"/>
    </row>
    <row r="1178">
      <c r="D1178" s="26"/>
    </row>
    <row r="1179">
      <c r="D1179" s="26"/>
    </row>
    <row r="1180">
      <c r="D1180" s="26"/>
    </row>
    <row r="1181">
      <c r="D1181" s="26"/>
    </row>
    <row r="1182">
      <c r="D1182" s="26"/>
    </row>
    <row r="1183">
      <c r="D1183" s="26"/>
    </row>
    <row r="1184">
      <c r="D1184" s="26"/>
    </row>
    <row r="1185">
      <c r="D1185" s="26"/>
    </row>
    <row r="1186">
      <c r="D1186" s="26"/>
    </row>
    <row r="1187">
      <c r="D1187" s="26"/>
    </row>
    <row r="1188">
      <c r="D1188" s="26"/>
    </row>
    <row r="1189">
      <c r="D1189" s="26"/>
    </row>
    <row r="1190">
      <c r="D1190" s="26"/>
    </row>
    <row r="1191">
      <c r="D1191" s="26"/>
    </row>
    <row r="1192">
      <c r="D1192" s="26"/>
    </row>
    <row r="1193">
      <c r="D1193" s="26"/>
    </row>
    <row r="1194">
      <c r="D1194" s="26"/>
    </row>
    <row r="1195">
      <c r="D1195" s="26"/>
    </row>
    <row r="1196">
      <c r="D1196" s="26"/>
    </row>
    <row r="1197">
      <c r="D1197" s="26"/>
    </row>
    <row r="1198">
      <c r="D1198" s="26"/>
    </row>
    <row r="1199">
      <c r="D1199"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s>
  <sheetData>
    <row r="1">
      <c r="A1" s="1" t="s">
        <v>1</v>
      </c>
      <c r="B1" s="1" t="s">
        <v>2</v>
      </c>
      <c r="C1" s="1" t="s">
        <v>3</v>
      </c>
      <c r="D1" s="1" t="s">
        <v>4</v>
      </c>
      <c r="E1" s="1" t="s">
        <v>6</v>
      </c>
    </row>
    <row r="2">
      <c r="A2" s="3" t="s">
        <v>8</v>
      </c>
      <c r="B2" s="3" t="s">
        <v>10</v>
      </c>
      <c r="C2" s="3" t="s">
        <v>11</v>
      </c>
    </row>
    <row r="3">
      <c r="A3" s="3" t="s">
        <v>12</v>
      </c>
      <c r="B3" s="3" t="s">
        <v>13</v>
      </c>
      <c r="C3" s="3" t="s">
        <v>11</v>
      </c>
    </row>
    <row r="4">
      <c r="A4" s="3" t="s">
        <v>14</v>
      </c>
      <c r="B4" s="3" t="s">
        <v>15</v>
      </c>
      <c r="C4" s="3" t="s">
        <v>11</v>
      </c>
    </row>
    <row r="5">
      <c r="A5" s="3" t="s">
        <v>16</v>
      </c>
      <c r="B5" s="3" t="s">
        <v>10</v>
      </c>
      <c r="C5" s="3" t="s">
        <v>11</v>
      </c>
      <c r="D5" s="5">
        <v>46093.0</v>
      </c>
      <c r="E5" s="5">
        <v>46097.0</v>
      </c>
    </row>
    <row r="6">
      <c r="A6" s="3" t="s">
        <v>21</v>
      </c>
      <c r="B6" s="3" t="s">
        <v>15</v>
      </c>
      <c r="C6" s="3" t="s">
        <v>11</v>
      </c>
    </row>
    <row r="7">
      <c r="A7" s="3" t="s">
        <v>23</v>
      </c>
      <c r="B7" s="3" t="s">
        <v>15</v>
      </c>
      <c r="C7" s="3" t="s">
        <v>11</v>
      </c>
    </row>
    <row r="8">
      <c r="A8" s="3" t="s">
        <v>27</v>
      </c>
      <c r="B8" s="3" t="s">
        <v>29</v>
      </c>
      <c r="C8" s="3" t="s">
        <v>11</v>
      </c>
    </row>
    <row r="9">
      <c r="A9" s="3" t="s">
        <v>30</v>
      </c>
      <c r="B9" s="3" t="s">
        <v>15</v>
      </c>
      <c r="C9" s="3" t="s">
        <v>11</v>
      </c>
    </row>
    <row r="10">
      <c r="A10" s="3" t="s">
        <v>33</v>
      </c>
      <c r="B10" s="3" t="s">
        <v>10</v>
      </c>
      <c r="C10" s="3" t="s">
        <v>11</v>
      </c>
    </row>
    <row r="11">
      <c r="A11" s="3" t="s">
        <v>38</v>
      </c>
      <c r="B11" s="3" t="s">
        <v>15</v>
      </c>
      <c r="C11" s="3" t="s">
        <v>11</v>
      </c>
    </row>
    <row r="12">
      <c r="A12" s="3" t="s">
        <v>42</v>
      </c>
      <c r="B12" s="3" t="s">
        <v>10</v>
      </c>
      <c r="C12" s="3" t="s">
        <v>11</v>
      </c>
    </row>
    <row r="13">
      <c r="A13" s="3" t="s">
        <v>46</v>
      </c>
      <c r="C13" s="3" t="s">
        <v>11</v>
      </c>
    </row>
    <row r="14">
      <c r="A14" s="3" t="s">
        <v>48</v>
      </c>
      <c r="B14" s="3" t="s">
        <v>15</v>
      </c>
      <c r="C14" s="3" t="s">
        <v>11</v>
      </c>
      <c r="D14" s="5">
        <v>46104.0</v>
      </c>
    </row>
    <row r="15">
      <c r="A15" s="3" t="s">
        <v>53</v>
      </c>
      <c r="B15" s="3" t="s">
        <v>10</v>
      </c>
      <c r="C15" s="3" t="s">
        <v>11</v>
      </c>
      <c r="D15" s="5">
        <v>46108.0</v>
      </c>
    </row>
    <row r="16">
      <c r="A16" s="3" t="s">
        <v>57</v>
      </c>
      <c r="B16" s="3" t="s">
        <v>13</v>
      </c>
      <c r="C16" s="3" t="s">
        <v>11</v>
      </c>
      <c r="D16" s="13">
        <v>46114.0</v>
      </c>
    </row>
    <row r="17">
      <c r="A17" s="3" t="s">
        <v>60</v>
      </c>
      <c r="B17" s="3" t="s">
        <v>10</v>
      </c>
      <c r="C17" s="3" t="s">
        <v>11</v>
      </c>
      <c r="D17" s="16">
        <v>46135.0</v>
      </c>
    </row>
    <row r="18">
      <c r="A18" s="3" t="s">
        <v>66</v>
      </c>
      <c r="C18" s="17"/>
    </row>
    <row r="19">
      <c r="A19" s="3" t="s">
        <v>72</v>
      </c>
      <c r="C19" s="17"/>
    </row>
    <row r="20">
      <c r="A20" s="3" t="s">
        <v>74</v>
      </c>
      <c r="C20" s="17"/>
    </row>
    <row r="21">
      <c r="A21" s="3" t="s">
        <v>77</v>
      </c>
    </row>
    <row r="22">
      <c r="A22" s="3" t="s">
        <v>79</v>
      </c>
      <c r="B22" s="3" t="s">
        <v>10</v>
      </c>
      <c r="C22" s="3" t="s">
        <v>11</v>
      </c>
    </row>
    <row r="23">
      <c r="A23" s="3" t="s">
        <v>82</v>
      </c>
      <c r="B23" s="3" t="s">
        <v>10</v>
      </c>
      <c r="C23" s="3" t="s">
        <v>11</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26.0"/>
    <col customWidth="1" min="12" max="12" width="26.25"/>
    <col customWidth="1" min="13" max="23" width="18.88"/>
  </cols>
  <sheetData>
    <row r="1" ht="22.5" customHeight="1">
      <c r="A1" s="10" t="s">
        <v>9</v>
      </c>
      <c r="B1" s="10" t="s">
        <v>31</v>
      </c>
      <c r="C1" s="10" t="s">
        <v>5</v>
      </c>
      <c r="D1" s="10" t="s">
        <v>64</v>
      </c>
      <c r="E1" s="10" t="s">
        <v>67</v>
      </c>
      <c r="F1" s="10" t="s">
        <v>127</v>
      </c>
      <c r="G1" s="10" t="s">
        <v>129</v>
      </c>
      <c r="H1" s="10" t="s">
        <v>131</v>
      </c>
      <c r="I1" s="10" t="s">
        <v>132</v>
      </c>
      <c r="J1" s="10" t="s">
        <v>135</v>
      </c>
      <c r="K1" s="10" t="s">
        <v>136</v>
      </c>
      <c r="L1" s="10" t="s">
        <v>138</v>
      </c>
      <c r="M1" s="10" t="s">
        <v>139</v>
      </c>
      <c r="N1" s="10" t="s">
        <v>141</v>
      </c>
      <c r="O1" s="10" t="s">
        <v>142</v>
      </c>
      <c r="P1" s="10" t="s">
        <v>143</v>
      </c>
      <c r="Q1" s="10" t="s">
        <v>145</v>
      </c>
      <c r="R1" s="23" t="s">
        <v>147</v>
      </c>
      <c r="S1" s="23" t="s">
        <v>149</v>
      </c>
      <c r="T1" s="23" t="s">
        <v>150</v>
      </c>
    </row>
    <row r="2" ht="22.5" customHeight="1">
      <c r="A2" s="18">
        <v>46093.7713215625</v>
      </c>
      <c r="B2" s="19" t="s">
        <v>152</v>
      </c>
      <c r="C2" s="19" t="s">
        <v>154</v>
      </c>
      <c r="D2" s="19">
        <v>58.0</v>
      </c>
      <c r="E2" s="19" t="s">
        <v>157</v>
      </c>
      <c r="F2" s="19">
        <v>16.0</v>
      </c>
      <c r="G2" s="19">
        <v>41.0</v>
      </c>
      <c r="H2" s="19">
        <v>35.0</v>
      </c>
      <c r="I2" s="19" t="s">
        <v>160</v>
      </c>
      <c r="J2" s="19">
        <v>17.0</v>
      </c>
      <c r="K2" s="19" t="s">
        <v>162</v>
      </c>
      <c r="L2" s="19" t="s">
        <v>163</v>
      </c>
      <c r="M2" s="19">
        <v>40.0</v>
      </c>
      <c r="N2" s="19" t="s">
        <v>164</v>
      </c>
      <c r="O2" s="19" t="s">
        <v>165</v>
      </c>
      <c r="P2" s="19" t="s">
        <v>135</v>
      </c>
      <c r="Q2" s="19" t="s">
        <v>127</v>
      </c>
      <c r="R2" s="24"/>
      <c r="S2" s="24"/>
      <c r="T2" s="24"/>
    </row>
    <row r="3" ht="22.5" customHeight="1">
      <c r="A3" s="18">
        <v>46097.381610937504</v>
      </c>
      <c r="B3" s="19" t="s">
        <v>176</v>
      </c>
      <c r="C3" s="19" t="s">
        <v>178</v>
      </c>
      <c r="D3" s="19">
        <v>56.0</v>
      </c>
      <c r="E3" s="19" t="s">
        <v>157</v>
      </c>
      <c r="F3" s="19">
        <v>30.0</v>
      </c>
      <c r="G3" s="19">
        <v>32.0</v>
      </c>
      <c r="H3" s="19">
        <v>35.0</v>
      </c>
      <c r="I3" s="19" t="s">
        <v>184</v>
      </c>
      <c r="J3" s="19">
        <v>12.0</v>
      </c>
      <c r="K3" s="19" t="s">
        <v>163</v>
      </c>
      <c r="L3" s="19" t="s">
        <v>187</v>
      </c>
      <c r="M3" s="19">
        <v>38.0</v>
      </c>
      <c r="N3" s="19" t="s">
        <v>164</v>
      </c>
      <c r="O3" s="19" t="s">
        <v>165</v>
      </c>
      <c r="P3" s="19" t="s">
        <v>127</v>
      </c>
      <c r="Q3" s="19" t="s">
        <v>129</v>
      </c>
      <c r="R3" s="24"/>
      <c r="S3" s="24"/>
      <c r="T3" s="24"/>
    </row>
    <row r="4" ht="22.5" customHeight="1">
      <c r="A4" s="18">
        <v>46097.4460333912</v>
      </c>
      <c r="B4" s="19" t="s">
        <v>195</v>
      </c>
      <c r="C4" s="19" t="s">
        <v>197</v>
      </c>
      <c r="D4" s="19">
        <v>40.0</v>
      </c>
      <c r="E4" s="19" t="s">
        <v>198</v>
      </c>
      <c r="F4" s="19">
        <v>24.0</v>
      </c>
      <c r="G4" s="19">
        <v>31.0</v>
      </c>
      <c r="H4" s="19">
        <v>52.0</v>
      </c>
      <c r="I4" s="19" t="s">
        <v>184</v>
      </c>
      <c r="J4" s="19">
        <v>15.0</v>
      </c>
      <c r="K4" s="19" t="s">
        <v>163</v>
      </c>
      <c r="L4" s="19" t="s">
        <v>204</v>
      </c>
      <c r="M4" s="22">
        <v>38.0</v>
      </c>
      <c r="N4" s="19" t="s">
        <v>164</v>
      </c>
      <c r="O4" s="22" t="s">
        <v>208</v>
      </c>
      <c r="P4" s="19" t="s">
        <v>132</v>
      </c>
      <c r="Q4" s="19" t="s">
        <v>129</v>
      </c>
    </row>
    <row r="5" ht="22.5" customHeight="1">
      <c r="A5" s="18">
        <v>46097.70246480324</v>
      </c>
      <c r="B5" s="19" t="s">
        <v>16</v>
      </c>
      <c r="C5" s="19" t="s">
        <v>214</v>
      </c>
      <c r="D5" s="19">
        <v>72.0</v>
      </c>
      <c r="E5" s="19" t="s">
        <v>198</v>
      </c>
      <c r="F5" s="19">
        <v>43.0</v>
      </c>
      <c r="G5" s="19">
        <v>34.45</v>
      </c>
      <c r="H5" s="19">
        <v>40.0</v>
      </c>
      <c r="I5" s="19" t="s">
        <v>160</v>
      </c>
      <c r="J5" s="19">
        <v>10.0</v>
      </c>
      <c r="K5" s="19" t="s">
        <v>163</v>
      </c>
      <c r="L5" s="19" t="s">
        <v>225</v>
      </c>
      <c r="M5" s="22">
        <v>38.0</v>
      </c>
      <c r="N5" s="19" t="s">
        <v>164</v>
      </c>
      <c r="O5" s="22" t="s">
        <v>208</v>
      </c>
      <c r="P5" s="19" t="s">
        <v>127</v>
      </c>
      <c r="Q5" s="19" t="s">
        <v>129</v>
      </c>
    </row>
    <row r="6" ht="22.5" customHeight="1">
      <c r="A6" s="18">
        <v>46099.97168609954</v>
      </c>
      <c r="B6" s="19" t="s">
        <v>239</v>
      </c>
      <c r="C6" s="19" t="s">
        <v>241</v>
      </c>
      <c r="D6" s="19">
        <v>49.0</v>
      </c>
      <c r="E6" s="19" t="s">
        <v>157</v>
      </c>
      <c r="F6" s="19">
        <v>12.0</v>
      </c>
      <c r="G6" s="19">
        <v>33.0</v>
      </c>
      <c r="H6" s="19">
        <v>25.0</v>
      </c>
      <c r="I6" s="19" t="s">
        <v>184</v>
      </c>
      <c r="J6" s="19">
        <v>3.0</v>
      </c>
      <c r="K6" s="19" t="s">
        <v>163</v>
      </c>
      <c r="L6" s="19" t="s">
        <v>249</v>
      </c>
      <c r="M6" s="19">
        <v>22.0</v>
      </c>
      <c r="N6" s="19" t="s">
        <v>252</v>
      </c>
      <c r="O6" s="19" t="s">
        <v>254</v>
      </c>
      <c r="P6" s="19" t="s">
        <v>132</v>
      </c>
      <c r="Q6" s="19" t="s">
        <v>127</v>
      </c>
    </row>
    <row r="7" ht="22.5" customHeight="1">
      <c r="A7" s="18">
        <v>46105.721923171295</v>
      </c>
      <c r="B7" s="19" t="s">
        <v>257</v>
      </c>
      <c r="C7" s="19" t="s">
        <v>259</v>
      </c>
      <c r="D7" s="19">
        <v>63.0</v>
      </c>
      <c r="E7" s="19" t="s">
        <v>198</v>
      </c>
      <c r="F7" s="19">
        <v>27.0</v>
      </c>
      <c r="G7" s="19">
        <v>46.0</v>
      </c>
      <c r="H7" s="19">
        <v>33.0</v>
      </c>
      <c r="I7" s="19" t="s">
        <v>263</v>
      </c>
      <c r="J7" s="19">
        <v>9.0</v>
      </c>
      <c r="K7" s="19" t="s">
        <v>163</v>
      </c>
      <c r="L7" s="19" t="s">
        <v>266</v>
      </c>
      <c r="M7" s="19">
        <v>28.0</v>
      </c>
      <c r="N7" s="19" t="s">
        <v>252</v>
      </c>
      <c r="O7" s="19" t="s">
        <v>254</v>
      </c>
      <c r="P7" s="19" t="s">
        <v>127</v>
      </c>
      <c r="Q7" s="19" t="s">
        <v>131</v>
      </c>
    </row>
    <row r="8" ht="22.5" customHeight="1">
      <c r="A8" s="18">
        <v>46115.239180613426</v>
      </c>
      <c r="B8" s="19" t="s">
        <v>271</v>
      </c>
      <c r="C8" s="19" t="s">
        <v>272</v>
      </c>
      <c r="D8" s="19">
        <v>58.0</v>
      </c>
      <c r="E8" s="19" t="s">
        <v>198</v>
      </c>
      <c r="F8" s="19">
        <v>21.0</v>
      </c>
      <c r="G8" s="19">
        <v>59.0</v>
      </c>
      <c r="H8" s="19">
        <v>56.0</v>
      </c>
      <c r="I8" s="19" t="s">
        <v>263</v>
      </c>
      <c r="J8" s="19">
        <v>7.0</v>
      </c>
      <c r="K8" s="19" t="s">
        <v>163</v>
      </c>
      <c r="L8" s="19" t="s">
        <v>283</v>
      </c>
      <c r="M8" s="19">
        <v>42.0</v>
      </c>
      <c r="N8" s="19" t="s">
        <v>164</v>
      </c>
      <c r="O8" s="19" t="s">
        <v>165</v>
      </c>
      <c r="P8" s="19" t="s">
        <v>129</v>
      </c>
      <c r="Q8" s="19" t="s">
        <v>132</v>
      </c>
    </row>
    <row r="9" ht="22.5" customHeight="1">
      <c r="A9" s="18">
        <v>46116.92710008102</v>
      </c>
      <c r="B9" s="19" t="s">
        <v>287</v>
      </c>
      <c r="C9" s="19" t="s">
        <v>288</v>
      </c>
      <c r="D9" s="19">
        <v>67.0</v>
      </c>
      <c r="E9" s="19" t="s">
        <v>198</v>
      </c>
      <c r="F9" s="19">
        <v>17.0</v>
      </c>
      <c r="G9" s="19">
        <v>34.0</v>
      </c>
      <c r="H9" s="19">
        <v>45.0</v>
      </c>
      <c r="I9" s="19" t="s">
        <v>184</v>
      </c>
      <c r="J9" s="19">
        <v>12.0</v>
      </c>
      <c r="K9" s="19" t="s">
        <v>163</v>
      </c>
      <c r="L9" s="19" t="s">
        <v>291</v>
      </c>
      <c r="M9" s="19">
        <v>42.0</v>
      </c>
      <c r="N9" s="19" t="s">
        <v>164</v>
      </c>
      <c r="O9" s="19" t="s">
        <v>165</v>
      </c>
      <c r="P9" s="19" t="s">
        <v>132</v>
      </c>
      <c r="Q9" s="19" t="s">
        <v>127</v>
      </c>
    </row>
    <row r="10" ht="22.5" customHeight="1">
      <c r="A10" s="18">
        <v>46116.933318564814</v>
      </c>
      <c r="B10" s="19" t="s">
        <v>287</v>
      </c>
      <c r="C10" s="19" t="s">
        <v>288</v>
      </c>
      <c r="D10" s="19">
        <v>67.0</v>
      </c>
      <c r="E10" s="19" t="s">
        <v>198</v>
      </c>
      <c r="F10" s="19">
        <v>17.0</v>
      </c>
      <c r="G10" s="19">
        <v>34.0</v>
      </c>
      <c r="H10" s="19">
        <v>45.0</v>
      </c>
      <c r="I10" s="19" t="s">
        <v>184</v>
      </c>
      <c r="J10" s="19">
        <v>12.0</v>
      </c>
      <c r="K10" s="19" t="s">
        <v>163</v>
      </c>
      <c r="L10" s="19" t="s">
        <v>304</v>
      </c>
      <c r="M10" s="19">
        <v>42.0</v>
      </c>
      <c r="N10" s="19" t="s">
        <v>164</v>
      </c>
      <c r="O10" s="19" t="s">
        <v>165</v>
      </c>
      <c r="P10" s="19" t="s">
        <v>132</v>
      </c>
      <c r="Q10" s="19" t="s">
        <v>127</v>
      </c>
    </row>
    <row r="11" ht="22.5" customHeight="1">
      <c r="A11" s="18">
        <v>46116.97024800926</v>
      </c>
      <c r="B11" s="19" t="s">
        <v>306</v>
      </c>
      <c r="C11" s="19" t="s">
        <v>307</v>
      </c>
      <c r="D11" s="19">
        <v>70.0</v>
      </c>
      <c r="E11" s="19" t="s">
        <v>157</v>
      </c>
      <c r="F11" s="19">
        <v>25.0</v>
      </c>
      <c r="G11" s="19">
        <v>45.0</v>
      </c>
      <c r="H11" s="19">
        <v>50.0</v>
      </c>
      <c r="I11" s="19" t="s">
        <v>184</v>
      </c>
      <c r="J11" s="19">
        <v>14.0</v>
      </c>
      <c r="K11" s="19" t="s">
        <v>163</v>
      </c>
      <c r="L11" s="19" t="s">
        <v>312</v>
      </c>
      <c r="M11" s="19">
        <v>54.0</v>
      </c>
      <c r="N11" s="19" t="s">
        <v>313</v>
      </c>
      <c r="O11" s="19" t="s">
        <v>314</v>
      </c>
      <c r="P11" s="19" t="s">
        <v>135</v>
      </c>
      <c r="Q11" s="19" t="s">
        <v>129</v>
      </c>
    </row>
    <row r="12" ht="22.5" customHeight="1">
      <c r="A12" s="18">
        <v>46117.72183167824</v>
      </c>
      <c r="B12" s="19" t="s">
        <v>269</v>
      </c>
      <c r="C12" s="19" t="s">
        <v>317</v>
      </c>
      <c r="D12" s="19">
        <v>50.0</v>
      </c>
      <c r="E12" s="19" t="s">
        <v>157</v>
      </c>
      <c r="F12" s="19">
        <v>20.0</v>
      </c>
      <c r="G12" s="19">
        <v>45.0</v>
      </c>
      <c r="H12" s="19">
        <v>35.0</v>
      </c>
      <c r="I12" s="19" t="s">
        <v>184</v>
      </c>
      <c r="J12" s="19">
        <v>10.0</v>
      </c>
      <c r="K12" s="19" t="s">
        <v>163</v>
      </c>
      <c r="L12" s="19" t="s">
        <v>328</v>
      </c>
      <c r="M12" s="19">
        <v>34.0</v>
      </c>
      <c r="N12" s="19" t="s">
        <v>164</v>
      </c>
      <c r="O12" s="19" t="s">
        <v>165</v>
      </c>
      <c r="P12" s="19" t="s">
        <v>132</v>
      </c>
      <c r="Q12" s="19" t="s">
        <v>131</v>
      </c>
    </row>
    <row r="13" ht="22.5" customHeight="1">
      <c r="A13" s="18">
        <v>46125.020250625</v>
      </c>
      <c r="B13" s="19" t="s">
        <v>335</v>
      </c>
      <c r="C13" s="19" t="s">
        <v>336</v>
      </c>
      <c r="D13" s="19">
        <v>52.0</v>
      </c>
      <c r="E13" s="19" t="s">
        <v>157</v>
      </c>
      <c r="F13" s="19">
        <v>25.0</v>
      </c>
      <c r="G13" s="19">
        <v>34.0</v>
      </c>
      <c r="H13" s="19">
        <v>60.0</v>
      </c>
      <c r="I13" s="19" t="s">
        <v>160</v>
      </c>
      <c r="J13" s="19">
        <v>5.0</v>
      </c>
      <c r="K13" s="19" t="s">
        <v>343</v>
      </c>
      <c r="L13" s="19" t="s">
        <v>344</v>
      </c>
      <c r="M13" s="19">
        <v>36.0</v>
      </c>
      <c r="N13" s="19" t="s">
        <v>164</v>
      </c>
      <c r="O13" s="19" t="s">
        <v>165</v>
      </c>
      <c r="P13" s="19" t="s">
        <v>127</v>
      </c>
      <c r="Q13" s="19" t="s">
        <v>135</v>
      </c>
    </row>
    <row r="14" ht="22.5" customHeight="1">
      <c r="A14" s="18">
        <v>46126.92297431713</v>
      </c>
      <c r="B14" s="19" t="s">
        <v>347</v>
      </c>
      <c r="C14" s="19" t="s">
        <v>349</v>
      </c>
      <c r="D14" s="19">
        <v>41.0</v>
      </c>
      <c r="E14" s="19" t="s">
        <v>198</v>
      </c>
      <c r="F14" s="19">
        <v>23.0</v>
      </c>
      <c r="G14" s="19">
        <v>41.0</v>
      </c>
      <c r="H14" s="19">
        <v>36.0</v>
      </c>
      <c r="I14" s="19" t="s">
        <v>353</v>
      </c>
      <c r="J14" s="19">
        <v>12.0</v>
      </c>
      <c r="K14" s="19" t="s">
        <v>163</v>
      </c>
      <c r="L14" s="19" t="s">
        <v>358</v>
      </c>
      <c r="M14" s="19">
        <v>42.0</v>
      </c>
      <c r="N14" s="19" t="s">
        <v>164</v>
      </c>
      <c r="O14" s="19" t="s">
        <v>165</v>
      </c>
      <c r="P14" s="19" t="s">
        <v>132</v>
      </c>
      <c r="Q14" s="19" t="s">
        <v>131</v>
      </c>
    </row>
    <row r="15" ht="22.5" customHeight="1">
      <c r="A15" s="18">
        <v>46133.54173923611</v>
      </c>
      <c r="B15" s="19" t="s">
        <v>152</v>
      </c>
      <c r="C15" s="19" t="s">
        <v>154</v>
      </c>
      <c r="D15" s="19">
        <v>58.0</v>
      </c>
      <c r="E15" s="19" t="s">
        <v>157</v>
      </c>
      <c r="F15" s="19">
        <v>27.0</v>
      </c>
      <c r="G15" s="19">
        <v>47.0</v>
      </c>
      <c r="H15" s="19">
        <v>55.0</v>
      </c>
      <c r="I15" s="19" t="s">
        <v>370</v>
      </c>
      <c r="J15" s="19">
        <v>21.0</v>
      </c>
      <c r="K15" s="19" t="s">
        <v>163</v>
      </c>
      <c r="M15" s="19">
        <v>72.0</v>
      </c>
      <c r="N15" s="19" t="s">
        <v>374</v>
      </c>
      <c r="O15" s="19" t="s">
        <v>375</v>
      </c>
      <c r="P15" s="19" t="s">
        <v>132</v>
      </c>
      <c r="Q15" s="19" t="s">
        <v>129</v>
      </c>
    </row>
    <row r="16" ht="22.5" customHeight="1">
      <c r="A16" s="18">
        <v>46138.74991962963</v>
      </c>
      <c r="B16" s="19" t="s">
        <v>335</v>
      </c>
      <c r="C16" s="19" t="s">
        <v>336</v>
      </c>
      <c r="D16" s="19">
        <v>52.0</v>
      </c>
      <c r="E16" s="19" t="s">
        <v>157</v>
      </c>
      <c r="F16" s="19">
        <v>20.0</v>
      </c>
      <c r="G16" s="19">
        <v>43.0</v>
      </c>
      <c r="H16" s="19">
        <v>60.0</v>
      </c>
      <c r="I16" s="19" t="s">
        <v>160</v>
      </c>
      <c r="J16" s="19">
        <v>11.0</v>
      </c>
      <c r="K16" s="19" t="s">
        <v>343</v>
      </c>
      <c r="L16" s="19" t="s">
        <v>381</v>
      </c>
      <c r="M16" s="19">
        <v>46.0</v>
      </c>
      <c r="N16" s="19" t="s">
        <v>164</v>
      </c>
      <c r="O16" s="19" t="s">
        <v>165</v>
      </c>
      <c r="P16" s="19" t="s">
        <v>131</v>
      </c>
      <c r="Q16" s="19" t="s">
        <v>127</v>
      </c>
    </row>
    <row r="17" ht="22.5" customHeight="1">
      <c r="A17" s="18">
        <v>46143.69092716435</v>
      </c>
      <c r="B17" s="19" t="s">
        <v>387</v>
      </c>
      <c r="C17" s="19" t="s">
        <v>383</v>
      </c>
      <c r="D17" s="19">
        <v>53.0</v>
      </c>
      <c r="E17" s="19" t="s">
        <v>157</v>
      </c>
      <c r="F17" s="19">
        <v>22.0</v>
      </c>
      <c r="G17" s="19">
        <v>37.0</v>
      </c>
      <c r="H17" s="19">
        <v>35.0</v>
      </c>
      <c r="I17" s="19" t="s">
        <v>184</v>
      </c>
      <c r="J17" s="19">
        <v>0.0</v>
      </c>
      <c r="K17" s="19" t="s">
        <v>163</v>
      </c>
      <c r="L17" s="19" t="s">
        <v>392</v>
      </c>
      <c r="M17" s="19">
        <v>26.0</v>
      </c>
      <c r="N17" s="19" t="s">
        <v>252</v>
      </c>
      <c r="O17" s="19" t="s">
        <v>254</v>
      </c>
      <c r="P17" s="19" t="s">
        <v>132</v>
      </c>
      <c r="Q17" s="19" t="s">
        <v>135</v>
      </c>
    </row>
    <row r="18" ht="22.5" customHeight="1">
      <c r="A18" s="18">
        <v>46144.655228020834</v>
      </c>
      <c r="B18" s="19" t="s">
        <v>394</v>
      </c>
      <c r="C18" s="19" t="s">
        <v>383</v>
      </c>
      <c r="D18" s="19">
        <v>53.0</v>
      </c>
      <c r="E18" s="19" t="s">
        <v>157</v>
      </c>
      <c r="F18" s="19">
        <v>39.0</v>
      </c>
      <c r="G18" s="19">
        <v>43.0</v>
      </c>
      <c r="H18" s="19">
        <v>44.0</v>
      </c>
      <c r="I18" s="19" t="s">
        <v>184</v>
      </c>
      <c r="J18" s="19">
        <v>13.0</v>
      </c>
      <c r="K18" s="19" t="s">
        <v>163</v>
      </c>
      <c r="L18" s="19" t="s">
        <v>400</v>
      </c>
      <c r="M18" s="19">
        <v>50.0</v>
      </c>
      <c r="N18" s="19" t="s">
        <v>313</v>
      </c>
      <c r="O18" s="19" t="s">
        <v>314</v>
      </c>
      <c r="P18" s="19" t="s">
        <v>127</v>
      </c>
      <c r="Q18" s="19" t="s">
        <v>129</v>
      </c>
    </row>
    <row r="19" ht="22.5" customHeight="1">
      <c r="A19" s="18">
        <v>46156.04537082176</v>
      </c>
      <c r="B19" s="19" t="s">
        <v>269</v>
      </c>
      <c r="C19" s="19" t="s">
        <v>270</v>
      </c>
      <c r="D19" s="19">
        <v>42.0</v>
      </c>
      <c r="E19" s="19" t="s">
        <v>157</v>
      </c>
      <c r="F19" s="19">
        <v>14.0</v>
      </c>
      <c r="G19" s="19">
        <v>45.0</v>
      </c>
      <c r="H19" s="19">
        <v>35.0</v>
      </c>
      <c r="I19" s="19" t="s">
        <v>184</v>
      </c>
      <c r="J19" s="19">
        <v>12.0</v>
      </c>
      <c r="K19" s="19" t="s">
        <v>163</v>
      </c>
      <c r="L19" s="19" t="s">
        <v>401</v>
      </c>
      <c r="M19" s="19">
        <v>34.0</v>
      </c>
      <c r="N19" s="19" t="s">
        <v>164</v>
      </c>
      <c r="O19" s="19" t="s">
        <v>165</v>
      </c>
      <c r="P19" s="19" t="s">
        <v>132</v>
      </c>
      <c r="Q19" s="19" t="s">
        <v>127</v>
      </c>
    </row>
    <row r="20" ht="22.5" customHeight="1">
      <c r="A20" s="18">
        <v>46156.0813169676</v>
      </c>
      <c r="B20" s="19" t="s">
        <v>23</v>
      </c>
      <c r="C20" s="19" t="s">
        <v>270</v>
      </c>
      <c r="D20" s="19">
        <v>42.0</v>
      </c>
      <c r="E20" s="19" t="s">
        <v>157</v>
      </c>
      <c r="F20" s="19">
        <v>28.0</v>
      </c>
      <c r="G20" s="19">
        <v>45.0</v>
      </c>
      <c r="H20" s="19">
        <v>40.0</v>
      </c>
      <c r="I20" s="19" t="s">
        <v>184</v>
      </c>
      <c r="J20" s="19">
        <v>12.0</v>
      </c>
      <c r="K20" s="19" t="s">
        <v>163</v>
      </c>
      <c r="M20" s="19">
        <v>46.0</v>
      </c>
      <c r="N20" s="19" t="s">
        <v>164</v>
      </c>
      <c r="O20" s="19" t="s">
        <v>165</v>
      </c>
      <c r="P20" s="19" t="s">
        <v>127</v>
      </c>
      <c r="Q20" s="19" t="s">
        <v>129</v>
      </c>
    </row>
    <row r="21" ht="22.5" customHeight="1">
      <c r="A21" s="18">
        <v>46162.57741224537</v>
      </c>
      <c r="B21" s="19" t="s">
        <v>446</v>
      </c>
      <c r="C21" s="19" t="s">
        <v>449</v>
      </c>
      <c r="D21" s="19">
        <v>53.0</v>
      </c>
      <c r="E21" s="19" t="s">
        <v>157</v>
      </c>
      <c r="F21" s="19">
        <v>18.0</v>
      </c>
      <c r="G21" s="19">
        <v>33.0</v>
      </c>
      <c r="H21" s="19">
        <v>50.0</v>
      </c>
      <c r="I21" s="19" t="s">
        <v>353</v>
      </c>
      <c r="J21" s="19">
        <v>0.0</v>
      </c>
      <c r="K21" s="19" t="s">
        <v>163</v>
      </c>
      <c r="L21" s="19" t="s">
        <v>473</v>
      </c>
      <c r="M21" s="19">
        <v>34.0</v>
      </c>
      <c r="N21" s="19" t="s">
        <v>164</v>
      </c>
      <c r="O21" s="19" t="s">
        <v>165</v>
      </c>
      <c r="P21" s="19" t="s">
        <v>132</v>
      </c>
      <c r="Q21" s="19" t="s">
        <v>135</v>
      </c>
    </row>
    <row r="22" ht="22.5" customHeight="1">
      <c r="A22" s="18">
        <v>46163.10359811343</v>
      </c>
      <c r="B22" s="19" t="s">
        <v>484</v>
      </c>
      <c r="C22" s="19" t="s">
        <v>297</v>
      </c>
      <c r="D22" s="19">
        <v>66.0</v>
      </c>
      <c r="E22" s="19" t="s">
        <v>157</v>
      </c>
      <c r="F22" s="19">
        <v>26.0</v>
      </c>
      <c r="G22" s="19">
        <v>69.0</v>
      </c>
      <c r="H22" s="19">
        <v>70.0</v>
      </c>
      <c r="I22" s="19" t="s">
        <v>370</v>
      </c>
      <c r="J22" s="19">
        <v>27.0</v>
      </c>
      <c r="K22" s="19" t="s">
        <v>163</v>
      </c>
      <c r="L22" s="19" t="s">
        <v>517</v>
      </c>
      <c r="M22" s="19">
        <v>82.0</v>
      </c>
      <c r="N22" s="19" t="s">
        <v>522</v>
      </c>
      <c r="O22" s="19" t="s">
        <v>524</v>
      </c>
      <c r="P22" s="19" t="s">
        <v>132</v>
      </c>
      <c r="Q22" s="19" t="s">
        <v>127</v>
      </c>
    </row>
    <row r="23" ht="22.5" customHeight="1">
      <c r="A23" s="18">
        <v>46163.57620115741</v>
      </c>
      <c r="B23" s="19" t="s">
        <v>152</v>
      </c>
      <c r="C23" s="19" t="s">
        <v>154</v>
      </c>
      <c r="D23" s="19">
        <v>58.0</v>
      </c>
      <c r="E23" s="19" t="s">
        <v>157</v>
      </c>
      <c r="F23" s="19">
        <v>23.0</v>
      </c>
      <c r="G23" s="19">
        <v>55.0</v>
      </c>
      <c r="H23" s="19">
        <v>69.0</v>
      </c>
      <c r="I23" s="19" t="s">
        <v>370</v>
      </c>
      <c r="J23" s="19">
        <v>28.0</v>
      </c>
      <c r="K23" s="19" t="s">
        <v>163</v>
      </c>
      <c r="M23" s="19">
        <v>74.0</v>
      </c>
      <c r="N23" s="19" t="s">
        <v>374</v>
      </c>
      <c r="O23" s="19" t="s">
        <v>375</v>
      </c>
      <c r="P23" s="19" t="s">
        <v>132</v>
      </c>
      <c r="Q23" s="19" t="s">
        <v>127</v>
      </c>
    </row>
    <row r="24" ht="22.5" customHeight="1">
      <c r="A24" s="18">
        <v>46168.67286835648</v>
      </c>
      <c r="B24" s="19" t="s">
        <v>564</v>
      </c>
      <c r="C24" s="19" t="s">
        <v>569</v>
      </c>
      <c r="D24" s="19">
        <v>62.0</v>
      </c>
      <c r="E24" s="19" t="s">
        <v>198</v>
      </c>
      <c r="F24" s="19">
        <v>12.0</v>
      </c>
      <c r="G24" s="19">
        <v>32.0</v>
      </c>
      <c r="H24" s="19">
        <v>45.0</v>
      </c>
      <c r="I24" s="19" t="s">
        <v>370</v>
      </c>
      <c r="J24" s="19">
        <v>12.0</v>
      </c>
      <c r="K24" s="19" t="s">
        <v>594</v>
      </c>
      <c r="L24" s="19" t="s">
        <v>599</v>
      </c>
      <c r="M24" s="19">
        <v>44.0</v>
      </c>
      <c r="N24" s="19" t="s">
        <v>164</v>
      </c>
      <c r="O24" s="19" t="s">
        <v>165</v>
      </c>
      <c r="P24" s="19" t="s">
        <v>132</v>
      </c>
      <c r="Q24" s="19" t="s">
        <v>127</v>
      </c>
    </row>
    <row r="25" ht="22.5" customHeight="1">
      <c r="A25" s="18">
        <v>46187.75039792824</v>
      </c>
      <c r="B25" s="19" t="s">
        <v>287</v>
      </c>
      <c r="C25" s="19" t="s">
        <v>288</v>
      </c>
      <c r="D25" s="19">
        <v>67.0</v>
      </c>
      <c r="E25" s="19" t="s">
        <v>198</v>
      </c>
      <c r="F25" s="19">
        <v>16.0</v>
      </c>
      <c r="G25" s="19">
        <v>40.0</v>
      </c>
      <c r="H25" s="19">
        <v>40.0</v>
      </c>
      <c r="I25" s="19" t="s">
        <v>184</v>
      </c>
      <c r="J25" s="19">
        <v>12.0</v>
      </c>
      <c r="K25" s="19" t="s">
        <v>163</v>
      </c>
      <c r="L25" s="19" t="s">
        <v>637</v>
      </c>
      <c r="M25" s="19">
        <v>46.0</v>
      </c>
      <c r="N25" s="19" t="s">
        <v>164</v>
      </c>
      <c r="O25" s="19" t="s">
        <v>165</v>
      </c>
      <c r="P25" s="19" t="s">
        <v>132</v>
      </c>
      <c r="Q25" s="19" t="s">
        <v>127</v>
      </c>
    </row>
    <row r="26" ht="22.5" customHeight="1">
      <c r="A26" s="18">
        <v>46187.77781826389</v>
      </c>
      <c r="B26" s="19" t="s">
        <v>287</v>
      </c>
      <c r="C26" s="19" t="s">
        <v>288</v>
      </c>
      <c r="D26" s="19">
        <v>67.0</v>
      </c>
      <c r="E26" s="19" t="s">
        <v>198</v>
      </c>
      <c r="F26" s="19">
        <v>16.0</v>
      </c>
      <c r="G26" s="19">
        <v>40.0</v>
      </c>
      <c r="H26" s="19">
        <v>48.0</v>
      </c>
      <c r="I26" s="19" t="s">
        <v>184</v>
      </c>
      <c r="J26" s="19">
        <v>12.0</v>
      </c>
      <c r="K26" s="19" t="s">
        <v>163</v>
      </c>
      <c r="L26" s="19" t="s">
        <v>668</v>
      </c>
      <c r="M26" s="19">
        <v>46.0</v>
      </c>
      <c r="N26" s="19" t="s">
        <v>164</v>
      </c>
      <c r="O26" s="19" t="s">
        <v>165</v>
      </c>
      <c r="P26" s="19" t="s">
        <v>132</v>
      </c>
      <c r="Q26" s="19" t="s">
        <v>127</v>
      </c>
    </row>
    <row r="27" ht="22.5" customHeight="1">
      <c r="A27" s="18">
        <v>46197.85656946759</v>
      </c>
      <c r="B27" s="19" t="s">
        <v>226</v>
      </c>
      <c r="C27" s="19" t="s">
        <v>681</v>
      </c>
      <c r="D27" s="19">
        <v>36.0</v>
      </c>
      <c r="E27" s="19" t="s">
        <v>157</v>
      </c>
      <c r="F27" s="19">
        <v>23.0</v>
      </c>
      <c r="G27" s="19">
        <v>91.0</v>
      </c>
      <c r="H27" s="19">
        <v>110.0</v>
      </c>
      <c r="I27" s="19" t="s">
        <v>370</v>
      </c>
      <c r="J27" s="19">
        <v>23.0</v>
      </c>
      <c r="K27" s="19" t="s">
        <v>163</v>
      </c>
      <c r="L27" s="19" t="s">
        <v>700</v>
      </c>
      <c r="M27" s="19">
        <v>94.0</v>
      </c>
      <c r="N27" s="19" t="s">
        <v>708</v>
      </c>
      <c r="O27" s="19" t="s">
        <v>711</v>
      </c>
      <c r="P27" s="19" t="s">
        <v>129</v>
      </c>
      <c r="Q27" s="19" t="s">
        <v>127</v>
      </c>
    </row>
  </sheetData>
  <drawing r:id="rId4"/>
  <legacyDrawing r:id="rId5"/>
  <tableParts count="2">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7" width="37.63"/>
    <col customWidth="1" min="18" max="23" width="18.88"/>
  </cols>
  <sheetData>
    <row r="1" ht="22.5" customHeight="1">
      <c r="A1" s="10" t="s">
        <v>9</v>
      </c>
      <c r="B1" s="10" t="s">
        <v>31</v>
      </c>
      <c r="C1" s="10" t="s">
        <v>5</v>
      </c>
      <c r="D1" s="10" t="s">
        <v>190</v>
      </c>
      <c r="E1" s="10" t="s">
        <v>192</v>
      </c>
      <c r="F1" s="10" t="s">
        <v>193</v>
      </c>
      <c r="G1" s="10" t="s">
        <v>194</v>
      </c>
      <c r="H1" s="10" t="s">
        <v>196</v>
      </c>
      <c r="I1" s="10" t="s">
        <v>199</v>
      </c>
      <c r="J1" s="10" t="s">
        <v>200</v>
      </c>
      <c r="K1" s="10" t="s">
        <v>201</v>
      </c>
      <c r="L1" s="10" t="s">
        <v>203</v>
      </c>
      <c r="M1" s="10" t="s">
        <v>205</v>
      </c>
      <c r="N1" s="10" t="s">
        <v>207</v>
      </c>
      <c r="O1" s="10" t="s">
        <v>209</v>
      </c>
      <c r="P1" s="10" t="s">
        <v>211</v>
      </c>
      <c r="Q1" s="10" t="s">
        <v>212</v>
      </c>
    </row>
    <row r="2" ht="22.5" customHeight="1">
      <c r="A2" s="12">
        <v>46099.079389039354</v>
      </c>
      <c r="B2" s="15" t="s">
        <v>215</v>
      </c>
      <c r="C2" s="15" t="s">
        <v>216</v>
      </c>
      <c r="D2" s="15" t="s">
        <v>218</v>
      </c>
      <c r="E2" s="15" t="s">
        <v>219</v>
      </c>
      <c r="F2" s="15" t="s">
        <v>221</v>
      </c>
      <c r="G2" s="15" t="s">
        <v>222</v>
      </c>
      <c r="H2" s="15" t="s">
        <v>223</v>
      </c>
      <c r="I2" s="15" t="s">
        <v>224</v>
      </c>
      <c r="J2" s="15" t="s">
        <v>227</v>
      </c>
      <c r="K2" s="15" t="s">
        <v>228</v>
      </c>
      <c r="L2" s="15" t="s">
        <v>230</v>
      </c>
      <c r="M2" s="15" t="s">
        <v>232</v>
      </c>
      <c r="N2" s="15" t="s">
        <v>233</v>
      </c>
      <c r="O2" s="15" t="s">
        <v>235</v>
      </c>
      <c r="P2" s="15" t="s">
        <v>236</v>
      </c>
      <c r="Q2" s="15" t="s">
        <v>237</v>
      </c>
    </row>
    <row r="3" ht="22.5" customHeight="1">
      <c r="A3" s="18">
        <v>46101.6189427662</v>
      </c>
      <c r="B3" s="19" t="s">
        <v>238</v>
      </c>
      <c r="C3" s="19" t="s">
        <v>240</v>
      </c>
      <c r="D3" s="19" t="s">
        <v>218</v>
      </c>
      <c r="E3" s="19" t="s">
        <v>244</v>
      </c>
      <c r="F3" s="19" t="s">
        <v>221</v>
      </c>
      <c r="G3" s="19" t="s">
        <v>246</v>
      </c>
      <c r="H3" s="19" t="s">
        <v>223</v>
      </c>
      <c r="I3" s="19" t="s">
        <v>247</v>
      </c>
      <c r="J3" s="19" t="s">
        <v>227</v>
      </c>
      <c r="K3" s="19" t="s">
        <v>248</v>
      </c>
      <c r="L3" s="19" t="s">
        <v>230</v>
      </c>
      <c r="M3" s="19" t="s">
        <v>250</v>
      </c>
      <c r="N3" s="19" t="s">
        <v>251</v>
      </c>
      <c r="O3" s="19" t="s">
        <v>253</v>
      </c>
      <c r="P3" s="19" t="s">
        <v>255</v>
      </c>
      <c r="Q3" s="19" t="s">
        <v>256</v>
      </c>
    </row>
    <row r="4" ht="22.5" customHeight="1">
      <c r="A4" s="18">
        <v>46139.34478579861</v>
      </c>
      <c r="B4" s="19" t="s">
        <v>195</v>
      </c>
      <c r="C4" s="19" t="s">
        <v>197</v>
      </c>
      <c r="D4" s="19" t="s">
        <v>258</v>
      </c>
      <c r="E4" s="19" t="s">
        <v>219</v>
      </c>
      <c r="F4" s="19" t="s">
        <v>260</v>
      </c>
      <c r="G4" s="19" t="s">
        <v>222</v>
      </c>
      <c r="H4" s="19" t="s">
        <v>223</v>
      </c>
      <c r="I4" s="19" t="s">
        <v>247</v>
      </c>
      <c r="J4" s="19" t="s">
        <v>262</v>
      </c>
      <c r="K4" s="19" t="s">
        <v>264</v>
      </c>
      <c r="L4" s="19" t="s">
        <v>265</v>
      </c>
      <c r="M4" s="19" t="s">
        <v>232</v>
      </c>
      <c r="N4" s="19" t="s">
        <v>251</v>
      </c>
      <c r="O4" s="19" t="s">
        <v>267</v>
      </c>
      <c r="P4" s="19" t="s">
        <v>236</v>
      </c>
      <c r="Q4" s="19" t="s">
        <v>268</v>
      </c>
    </row>
    <row r="5" ht="22.5" customHeight="1">
      <c r="A5" s="18">
        <v>46156.08642354167</v>
      </c>
      <c r="B5" s="19" t="s">
        <v>269</v>
      </c>
      <c r="C5" s="19" t="s">
        <v>270</v>
      </c>
      <c r="D5" s="19" t="s">
        <v>218</v>
      </c>
      <c r="E5" s="19" t="s">
        <v>273</v>
      </c>
      <c r="F5" s="19" t="s">
        <v>260</v>
      </c>
      <c r="G5" s="19" t="s">
        <v>274</v>
      </c>
      <c r="H5" s="19" t="s">
        <v>276</v>
      </c>
      <c r="I5" s="19" t="s">
        <v>278</v>
      </c>
      <c r="J5" s="19" t="s">
        <v>279</v>
      </c>
      <c r="K5" s="19" t="s">
        <v>248</v>
      </c>
      <c r="L5" s="19" t="s">
        <v>282</v>
      </c>
      <c r="M5" s="19" t="s">
        <v>284</v>
      </c>
      <c r="N5" s="19" t="s">
        <v>233</v>
      </c>
      <c r="O5" s="19" t="s">
        <v>253</v>
      </c>
      <c r="P5" s="19" t="s">
        <v>255</v>
      </c>
      <c r="Q5" s="19" t="s">
        <v>237</v>
      </c>
    </row>
    <row r="6" ht="22.5" customHeight="1">
      <c r="A6" s="18">
        <v>46162.75429398148</v>
      </c>
      <c r="B6" s="19" t="s">
        <v>239</v>
      </c>
      <c r="C6" s="19" t="s">
        <v>241</v>
      </c>
      <c r="D6" s="19" t="s">
        <v>218</v>
      </c>
      <c r="E6" s="19" t="s">
        <v>244</v>
      </c>
      <c r="F6" s="19" t="s">
        <v>221</v>
      </c>
      <c r="G6" s="19" t="s">
        <v>274</v>
      </c>
      <c r="H6" s="19" t="s">
        <v>276</v>
      </c>
      <c r="I6" s="19" t="s">
        <v>278</v>
      </c>
      <c r="J6" s="19" t="s">
        <v>227</v>
      </c>
      <c r="K6" s="19" t="s">
        <v>248</v>
      </c>
      <c r="L6" s="19" t="s">
        <v>282</v>
      </c>
      <c r="M6" s="19" t="s">
        <v>284</v>
      </c>
      <c r="N6" s="19" t="s">
        <v>292</v>
      </c>
      <c r="O6" s="19" t="s">
        <v>294</v>
      </c>
      <c r="P6" s="19" t="s">
        <v>295</v>
      </c>
      <c r="Q6" s="19" t="s">
        <v>237</v>
      </c>
    </row>
    <row r="7" ht="22.5" customHeight="1">
      <c r="A7" s="18">
        <v>46163.13515960648</v>
      </c>
      <c r="B7" s="19" t="s">
        <v>296</v>
      </c>
      <c r="C7" s="19" t="s">
        <v>297</v>
      </c>
      <c r="D7" s="19" t="s">
        <v>298</v>
      </c>
      <c r="E7" s="19" t="s">
        <v>219</v>
      </c>
      <c r="F7" s="19" t="s">
        <v>221</v>
      </c>
      <c r="G7" s="19" t="s">
        <v>222</v>
      </c>
      <c r="H7" s="19" t="s">
        <v>223</v>
      </c>
      <c r="I7" s="19" t="s">
        <v>247</v>
      </c>
      <c r="J7" s="19" t="s">
        <v>279</v>
      </c>
      <c r="K7" s="19" t="s">
        <v>264</v>
      </c>
      <c r="L7" s="19" t="s">
        <v>265</v>
      </c>
      <c r="M7" s="19" t="s">
        <v>232</v>
      </c>
      <c r="N7" s="19" t="s">
        <v>251</v>
      </c>
      <c r="O7" s="19" t="s">
        <v>267</v>
      </c>
      <c r="P7" s="19" t="s">
        <v>236</v>
      </c>
      <c r="Q7" s="19" t="s">
        <v>268</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ht="22.5" customHeight="1">
      <c r="A1" s="10" t="s">
        <v>9</v>
      </c>
      <c r="B1" s="10" t="s">
        <v>5</v>
      </c>
      <c r="C1" s="10" t="s">
        <v>318</v>
      </c>
      <c r="D1" s="10" t="s">
        <v>320</v>
      </c>
      <c r="E1" s="10" t="s">
        <v>322</v>
      </c>
    </row>
    <row r="2" ht="22.5" customHeight="1">
      <c r="A2" s="18">
        <v>46093.77244454861</v>
      </c>
      <c r="B2" s="19" t="s">
        <v>154</v>
      </c>
      <c r="C2" s="19" t="s">
        <v>324</v>
      </c>
      <c r="D2" s="19" t="s">
        <v>325</v>
      </c>
      <c r="E2" s="19" t="s">
        <v>327</v>
      </c>
    </row>
    <row r="3" ht="22.5" customHeight="1">
      <c r="A3" s="18">
        <v>46093.78520614583</v>
      </c>
      <c r="B3" s="19" t="s">
        <v>154</v>
      </c>
      <c r="C3" s="19" t="s">
        <v>324</v>
      </c>
      <c r="D3" s="19" t="s">
        <v>325</v>
      </c>
      <c r="E3" s="19" t="s">
        <v>327</v>
      </c>
    </row>
    <row r="4" ht="22.5" customHeight="1">
      <c r="A4" s="18">
        <v>46097.383240254625</v>
      </c>
      <c r="B4" s="19" t="s">
        <v>178</v>
      </c>
      <c r="C4" s="19" t="s">
        <v>332</v>
      </c>
      <c r="D4" s="19" t="s">
        <v>333</v>
      </c>
      <c r="E4" s="19" t="s">
        <v>334</v>
      </c>
    </row>
    <row r="5" ht="22.5" customHeight="1">
      <c r="A5" s="18">
        <v>46099.97317777778</v>
      </c>
      <c r="B5" s="19" t="s">
        <v>241</v>
      </c>
      <c r="C5" s="19" t="s">
        <v>337</v>
      </c>
      <c r="D5" s="19" t="s">
        <v>338</v>
      </c>
      <c r="E5" s="19" t="s">
        <v>339</v>
      </c>
    </row>
    <row r="6" ht="22.5" customHeight="1">
      <c r="A6" s="18">
        <v>46101.59129211806</v>
      </c>
      <c r="B6" s="19" t="s">
        <v>240</v>
      </c>
      <c r="C6" s="19" t="s">
        <v>340</v>
      </c>
      <c r="D6" s="19" t="s">
        <v>341</v>
      </c>
      <c r="E6" s="19" t="s">
        <v>342</v>
      </c>
    </row>
    <row r="7" ht="22.5" customHeight="1">
      <c r="A7" s="18">
        <v>46101.592113715276</v>
      </c>
      <c r="B7" s="19" t="s">
        <v>240</v>
      </c>
      <c r="C7" s="19" t="s">
        <v>340</v>
      </c>
      <c r="D7" s="19" t="s">
        <v>345</v>
      </c>
      <c r="E7" s="19" t="s">
        <v>346</v>
      </c>
    </row>
    <row r="8" ht="22.5" customHeight="1">
      <c r="A8" s="18">
        <v>46101.59364435185</v>
      </c>
      <c r="B8" s="19" t="s">
        <v>240</v>
      </c>
      <c r="C8" s="19" t="s">
        <v>340</v>
      </c>
      <c r="D8" s="27" t="s">
        <v>348</v>
      </c>
      <c r="E8" s="19" t="s">
        <v>350</v>
      </c>
    </row>
    <row r="9" ht="22.5" customHeight="1">
      <c r="A9" s="18">
        <v>46104.20483041667</v>
      </c>
      <c r="B9" s="19" t="s">
        <v>197</v>
      </c>
      <c r="C9" s="19" t="s">
        <v>351</v>
      </c>
      <c r="D9" s="27" t="s">
        <v>352</v>
      </c>
      <c r="E9" s="19" t="s">
        <v>354</v>
      </c>
    </row>
    <row r="10" ht="22.5" customHeight="1">
      <c r="A10" s="18">
        <v>46105.63105130787</v>
      </c>
      <c r="B10" s="19" t="s">
        <v>259</v>
      </c>
      <c r="C10" s="19" t="s">
        <v>357</v>
      </c>
      <c r="D10" s="19" t="s">
        <v>360</v>
      </c>
      <c r="E10" s="19" t="s">
        <v>362</v>
      </c>
    </row>
    <row r="11" ht="22.5" customHeight="1">
      <c r="A11" s="18">
        <v>46112.81386175926</v>
      </c>
      <c r="B11" s="19" t="s">
        <v>44</v>
      </c>
      <c r="C11" s="27" t="s">
        <v>363</v>
      </c>
      <c r="D11" s="19" t="s">
        <v>364</v>
      </c>
      <c r="E11" s="19" t="s">
        <v>346</v>
      </c>
    </row>
    <row r="12" ht="22.5" customHeight="1">
      <c r="A12" s="18">
        <v>46116.93444462963</v>
      </c>
      <c r="B12" s="19" t="s">
        <v>288</v>
      </c>
      <c r="C12" s="27" t="s">
        <v>365</v>
      </c>
      <c r="D12" s="27" t="s">
        <v>366</v>
      </c>
      <c r="E12" s="19" t="s">
        <v>367</v>
      </c>
    </row>
    <row r="13" ht="22.5" customHeight="1">
      <c r="A13" s="18">
        <v>46117.722738842596</v>
      </c>
      <c r="B13" s="19" t="s">
        <v>368</v>
      </c>
      <c r="C13" s="27" t="s">
        <v>369</v>
      </c>
      <c r="D13" s="19" t="s">
        <v>364</v>
      </c>
      <c r="E13" s="19" t="s">
        <v>371</v>
      </c>
    </row>
    <row r="14" ht="22.5" customHeight="1">
      <c r="A14" s="18">
        <v>46120.90014</v>
      </c>
      <c r="B14" s="19" t="s">
        <v>26</v>
      </c>
      <c r="C14" s="27" t="s">
        <v>372</v>
      </c>
      <c r="D14" s="19" t="s">
        <v>373</v>
      </c>
      <c r="E14" s="19" t="s">
        <v>371</v>
      </c>
    </row>
    <row r="15" ht="22.5" customHeight="1">
      <c r="A15" s="18">
        <v>46125.021115219904</v>
      </c>
      <c r="B15" s="19" t="s">
        <v>336</v>
      </c>
      <c r="C15" s="19" t="s">
        <v>376</v>
      </c>
      <c r="D15" s="19" t="s">
        <v>377</v>
      </c>
      <c r="E15" s="19" t="s">
        <v>327</v>
      </c>
    </row>
    <row r="16" ht="22.5" customHeight="1">
      <c r="A16" s="18">
        <v>46126.956050127315</v>
      </c>
      <c r="B16" s="19" t="s">
        <v>349</v>
      </c>
      <c r="C16" s="19" t="s">
        <v>378</v>
      </c>
      <c r="D16" s="27" t="s">
        <v>366</v>
      </c>
      <c r="E16" s="19" t="s">
        <v>371</v>
      </c>
    </row>
    <row r="17" ht="22.5" customHeight="1">
      <c r="A17" s="18">
        <v>46138.70555283564</v>
      </c>
      <c r="B17" s="19" t="s">
        <v>336</v>
      </c>
      <c r="C17" s="19" t="s">
        <v>379</v>
      </c>
      <c r="D17" s="19" t="s">
        <v>377</v>
      </c>
      <c r="E17" s="19" t="s">
        <v>380</v>
      </c>
    </row>
    <row r="18" ht="22.5" customHeight="1">
      <c r="A18" s="18">
        <v>46143.69364614583</v>
      </c>
      <c r="B18" s="19" t="s">
        <v>383</v>
      </c>
      <c r="C18" s="27" t="s">
        <v>384</v>
      </c>
      <c r="D18" s="19" t="s">
        <v>386</v>
      </c>
      <c r="E18" s="19" t="s">
        <v>327</v>
      </c>
    </row>
    <row r="19" ht="22.5" customHeight="1">
      <c r="A19" s="18">
        <v>46156.04974783565</v>
      </c>
      <c r="B19" s="19" t="s">
        <v>270</v>
      </c>
      <c r="C19" s="19" t="s">
        <v>388</v>
      </c>
      <c r="D19" s="27" t="s">
        <v>389</v>
      </c>
      <c r="E19" s="19" t="s">
        <v>371</v>
      </c>
    </row>
    <row r="20" ht="22.5" customHeight="1">
      <c r="A20" s="18">
        <v>46163.1058100463</v>
      </c>
      <c r="B20" s="19" t="s">
        <v>297</v>
      </c>
      <c r="C20" s="19" t="s">
        <v>390</v>
      </c>
      <c r="D20" s="19" t="s">
        <v>391</v>
      </c>
      <c r="E20" s="19" t="s">
        <v>371</v>
      </c>
    </row>
    <row r="21" ht="22.5" customHeight="1">
      <c r="A21" s="18">
        <v>46188.878793067124</v>
      </c>
      <c r="B21" s="19" t="s">
        <v>270</v>
      </c>
      <c r="C21" s="19" t="s">
        <v>393</v>
      </c>
      <c r="D21" s="27" t="s">
        <v>389</v>
      </c>
      <c r="E21" s="19" t="s">
        <v>371</v>
      </c>
    </row>
    <row r="22" ht="22.5" customHeight="1">
      <c r="A22" s="18">
        <v>46188.87925273148</v>
      </c>
      <c r="B22" s="19" t="s">
        <v>270</v>
      </c>
      <c r="C22" s="19" t="s">
        <v>393</v>
      </c>
      <c r="D22" s="27" t="s">
        <v>395</v>
      </c>
      <c r="E22" s="19" t="s">
        <v>371</v>
      </c>
    </row>
    <row r="23" ht="22.5" customHeight="1">
      <c r="A23" s="18">
        <v>46188.87959454861</v>
      </c>
      <c r="B23" s="19" t="s">
        <v>270</v>
      </c>
      <c r="C23" s="19" t="s">
        <v>393</v>
      </c>
      <c r="D23" s="27" t="s">
        <v>389</v>
      </c>
      <c r="E23" s="19" t="s">
        <v>371</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7.13"/>
    <col customWidth="1" min="3" max="3" width="17.38"/>
    <col customWidth="1" min="4" max="4" width="33.0"/>
  </cols>
  <sheetData>
    <row r="1">
      <c r="A1" s="28" t="s">
        <v>9</v>
      </c>
      <c r="B1" s="28" t="s">
        <v>31</v>
      </c>
      <c r="C1" s="28" t="s">
        <v>34</v>
      </c>
      <c r="D1" s="28" t="s">
        <v>5</v>
      </c>
      <c r="E1" s="29"/>
      <c r="F1" s="29"/>
      <c r="G1" s="29"/>
      <c r="H1" s="29"/>
      <c r="I1" s="29"/>
      <c r="J1" s="29"/>
      <c r="K1" s="29"/>
      <c r="L1" s="29"/>
      <c r="M1" s="29"/>
      <c r="N1" s="29"/>
      <c r="O1" s="29"/>
      <c r="P1" s="29"/>
      <c r="Q1" s="29"/>
      <c r="R1" s="29"/>
      <c r="S1" s="29"/>
      <c r="T1" s="29"/>
      <c r="U1" s="29"/>
      <c r="V1" s="29"/>
      <c r="W1" s="29"/>
      <c r="X1" s="29"/>
      <c r="Y1" s="29"/>
      <c r="Z1" s="29"/>
    </row>
    <row r="2">
      <c r="A2" s="3" t="s">
        <v>402</v>
      </c>
      <c r="B2" s="3" t="s">
        <v>403</v>
      </c>
      <c r="C2" s="3" t="s">
        <v>404</v>
      </c>
      <c r="D2" s="3" t="s">
        <v>405</v>
      </c>
    </row>
    <row r="3">
      <c r="A3" s="30" t="s">
        <v>406</v>
      </c>
      <c r="B3" s="3" t="s">
        <v>407</v>
      </c>
      <c r="C3" s="3" t="s">
        <v>408</v>
      </c>
      <c r="D3" s="3" t="s">
        <v>409</v>
      </c>
    </row>
    <row r="4">
      <c r="A4" s="3" t="s">
        <v>410</v>
      </c>
      <c r="B4" s="3" t="s">
        <v>411</v>
      </c>
      <c r="C4" s="3" t="s">
        <v>412</v>
      </c>
      <c r="D4" s="3" t="s">
        <v>413</v>
      </c>
    </row>
    <row r="5">
      <c r="A5" s="3" t="s">
        <v>414</v>
      </c>
      <c r="B5" s="3" t="s">
        <v>411</v>
      </c>
      <c r="C5" s="3" t="s">
        <v>412</v>
      </c>
      <c r="D5" s="3" t="s">
        <v>413</v>
      </c>
    </row>
    <row r="6">
      <c r="A6" s="3" t="s">
        <v>415</v>
      </c>
      <c r="B6" s="3" t="s">
        <v>416</v>
      </c>
      <c r="C6" s="3" t="s">
        <v>418</v>
      </c>
      <c r="D6" s="3" t="s">
        <v>419</v>
      </c>
    </row>
    <row r="7">
      <c r="A7" s="3" t="s">
        <v>420</v>
      </c>
      <c r="B7" s="3" t="s">
        <v>416</v>
      </c>
      <c r="C7" s="3" t="s">
        <v>418</v>
      </c>
      <c r="D7" s="3" t="s">
        <v>419</v>
      </c>
    </row>
    <row r="8">
      <c r="A8" s="3" t="s">
        <v>423</v>
      </c>
      <c r="B8" s="3" t="s">
        <v>424</v>
      </c>
      <c r="C8" s="3" t="s">
        <v>425</v>
      </c>
      <c r="D8" s="3" t="s">
        <v>427</v>
      </c>
    </row>
    <row r="9">
      <c r="A9" s="3" t="s">
        <v>428</v>
      </c>
      <c r="B9" s="3" t="s">
        <v>429</v>
      </c>
      <c r="C9" s="3" t="s">
        <v>430</v>
      </c>
      <c r="D9" s="3" t="s">
        <v>431</v>
      </c>
    </row>
    <row r="10">
      <c r="A10" s="30" t="s">
        <v>432</v>
      </c>
      <c r="B10" s="3" t="s">
        <v>433</v>
      </c>
      <c r="C10" s="3" t="s">
        <v>434</v>
      </c>
      <c r="D10" s="3" t="s">
        <v>435</v>
      </c>
    </row>
    <row r="11">
      <c r="A11" s="3" t="s">
        <v>436</v>
      </c>
      <c r="B11" s="3" t="s">
        <v>437</v>
      </c>
      <c r="C11" s="3" t="s">
        <v>439</v>
      </c>
      <c r="D11" s="3" t="s">
        <v>307</v>
      </c>
    </row>
    <row r="12">
      <c r="A12" s="3" t="s">
        <v>440</v>
      </c>
      <c r="B12" s="3" t="s">
        <v>441</v>
      </c>
      <c r="C12" s="3" t="s">
        <v>442</v>
      </c>
      <c r="D12" s="3" t="s">
        <v>443</v>
      </c>
    </row>
    <row r="13">
      <c r="A13" s="3" t="s">
        <v>444</v>
      </c>
      <c r="B13" s="3" t="s">
        <v>445</v>
      </c>
      <c r="C13" s="3" t="s">
        <v>447</v>
      </c>
      <c r="D13" s="3" t="s">
        <v>448</v>
      </c>
    </row>
    <row r="14">
      <c r="A14" s="3" t="s">
        <v>450</v>
      </c>
      <c r="B14" s="3" t="s">
        <v>77</v>
      </c>
      <c r="C14" s="3" t="s">
        <v>451</v>
      </c>
      <c r="D14" s="3" t="s">
        <v>452</v>
      </c>
    </row>
    <row r="15">
      <c r="A15" s="30" t="s">
        <v>453</v>
      </c>
      <c r="B15" s="3" t="s">
        <v>454</v>
      </c>
      <c r="C15" s="3" t="s">
        <v>455</v>
      </c>
      <c r="D15" s="3" t="s">
        <v>456</v>
      </c>
    </row>
    <row r="16">
      <c r="A16" s="3" t="s">
        <v>457</v>
      </c>
      <c r="B16" s="3" t="s">
        <v>458</v>
      </c>
      <c r="C16" s="3" t="s">
        <v>459</v>
      </c>
      <c r="D16" s="3" t="s">
        <v>460</v>
      </c>
    </row>
    <row r="17">
      <c r="A17" s="30" t="s">
        <v>461</v>
      </c>
      <c r="B17" s="3" t="s">
        <v>462</v>
      </c>
      <c r="C17" s="3" t="s">
        <v>463</v>
      </c>
      <c r="D17" s="3" t="s">
        <v>464</v>
      </c>
    </row>
    <row r="18">
      <c r="A18" s="30" t="s">
        <v>465</v>
      </c>
      <c r="B18" s="3" t="s">
        <v>466</v>
      </c>
      <c r="C18" s="3" t="s">
        <v>467</v>
      </c>
      <c r="D18" s="3" t="s">
        <v>468</v>
      </c>
    </row>
    <row r="19">
      <c r="A19" s="3" t="s">
        <v>469</v>
      </c>
      <c r="B19" s="3" t="s">
        <v>470</v>
      </c>
      <c r="C19" s="3" t="s">
        <v>471</v>
      </c>
      <c r="D19" s="3" t="s">
        <v>472</v>
      </c>
    </row>
    <row r="20">
      <c r="A20" s="3" t="s">
        <v>474</v>
      </c>
      <c r="B20" s="3" t="s">
        <v>475</v>
      </c>
      <c r="C20" s="3" t="s">
        <v>476</v>
      </c>
      <c r="D20" s="3" t="s">
        <v>472</v>
      </c>
    </row>
    <row r="21">
      <c r="A21" s="31" t="s">
        <v>477</v>
      </c>
      <c r="B21" s="3" t="s">
        <v>470</v>
      </c>
      <c r="C21" s="3" t="s">
        <v>471</v>
      </c>
      <c r="D21" s="3" t="s">
        <v>472</v>
      </c>
    </row>
    <row r="22">
      <c r="A22" s="31" t="s">
        <v>478</v>
      </c>
      <c r="B22" s="3" t="s">
        <v>417</v>
      </c>
      <c r="C22" s="3" t="s">
        <v>479</v>
      </c>
      <c r="D22" s="3" t="s">
        <v>480</v>
      </c>
    </row>
    <row r="23">
      <c r="A23" s="31" t="s">
        <v>481</v>
      </c>
      <c r="B23" s="3" t="s">
        <v>482</v>
      </c>
      <c r="C23" s="3" t="s">
        <v>483</v>
      </c>
      <c r="D23" s="3" t="s">
        <v>485</v>
      </c>
    </row>
    <row r="24">
      <c r="A24" s="3" t="s">
        <v>486</v>
      </c>
      <c r="B24" s="3" t="s">
        <v>487</v>
      </c>
      <c r="C24" s="3" t="s">
        <v>488</v>
      </c>
      <c r="D24" s="3" t="s">
        <v>489</v>
      </c>
    </row>
    <row r="25">
      <c r="A25" s="3" t="s">
        <v>490</v>
      </c>
      <c r="B25" s="3" t="s">
        <v>491</v>
      </c>
      <c r="C25" s="3" t="s">
        <v>492</v>
      </c>
      <c r="D25" s="3" t="s">
        <v>493</v>
      </c>
    </row>
    <row r="26">
      <c r="A26" s="3" t="s">
        <v>494</v>
      </c>
      <c r="B26" s="3" t="s">
        <v>495</v>
      </c>
      <c r="C26" s="3" t="s">
        <v>496</v>
      </c>
      <c r="D26" s="3" t="s">
        <v>497</v>
      </c>
    </row>
    <row r="27">
      <c r="A27" s="3" t="s">
        <v>499</v>
      </c>
      <c r="B27" s="3" t="s">
        <v>500</v>
      </c>
      <c r="C27" s="3" t="s">
        <v>501</v>
      </c>
      <c r="D27" s="3" t="s">
        <v>502</v>
      </c>
    </row>
    <row r="28">
      <c r="A28" s="3" t="s">
        <v>504</v>
      </c>
      <c r="B28" s="3" t="s">
        <v>506</v>
      </c>
      <c r="C28" s="3" t="s">
        <v>507</v>
      </c>
      <c r="D28" s="3" t="s">
        <v>508</v>
      </c>
    </row>
    <row r="29">
      <c r="A29" s="3" t="s">
        <v>509</v>
      </c>
      <c r="B29" s="3" t="s">
        <v>510</v>
      </c>
      <c r="C29" s="3" t="s">
        <v>511</v>
      </c>
      <c r="D29" s="3" t="s">
        <v>512</v>
      </c>
    </row>
    <row r="30">
      <c r="A30" s="3" t="s">
        <v>513</v>
      </c>
      <c r="B30" s="3" t="s">
        <v>514</v>
      </c>
      <c r="C30" s="3" t="s">
        <v>515</v>
      </c>
      <c r="D30" s="3" t="s">
        <v>516</v>
      </c>
    </row>
    <row r="31">
      <c r="A31" s="3" t="s">
        <v>518</v>
      </c>
      <c r="B31" s="3" t="s">
        <v>519</v>
      </c>
      <c r="C31" s="3" t="s">
        <v>520</v>
      </c>
      <c r="D31" s="3" t="s">
        <v>521</v>
      </c>
    </row>
    <row r="32">
      <c r="A32" s="3" t="s">
        <v>523</v>
      </c>
      <c r="B32" s="3" t="s">
        <v>487</v>
      </c>
      <c r="C32" s="3" t="s">
        <v>488</v>
      </c>
      <c r="D32" s="3" t="s">
        <v>489</v>
      </c>
    </row>
    <row r="33">
      <c r="A33" s="3" t="s">
        <v>525</v>
      </c>
      <c r="B33" s="3" t="s">
        <v>526</v>
      </c>
      <c r="C33" s="3" t="s">
        <v>527</v>
      </c>
      <c r="D33" s="3" t="s">
        <v>528</v>
      </c>
    </row>
    <row r="34">
      <c r="A34" s="3" t="s">
        <v>529</v>
      </c>
      <c r="B34" s="3" t="s">
        <v>530</v>
      </c>
      <c r="C34" s="3" t="s">
        <v>531</v>
      </c>
      <c r="D34" s="3" t="s">
        <v>532</v>
      </c>
    </row>
    <row r="35">
      <c r="A35" s="3" t="s">
        <v>533</v>
      </c>
      <c r="B35" s="3" t="s">
        <v>534</v>
      </c>
      <c r="C35" s="3" t="s">
        <v>535</v>
      </c>
      <c r="D35" s="3" t="s">
        <v>536</v>
      </c>
    </row>
    <row r="36">
      <c r="A36" s="3" t="s">
        <v>537</v>
      </c>
      <c r="B36" s="3" t="s">
        <v>538</v>
      </c>
      <c r="C36" s="3" t="s">
        <v>539</v>
      </c>
      <c r="D36" s="3" t="s">
        <v>540</v>
      </c>
    </row>
    <row r="37">
      <c r="A37" s="3" t="s">
        <v>541</v>
      </c>
      <c r="B37" s="3" t="s">
        <v>530</v>
      </c>
      <c r="C37" s="3" t="s">
        <v>531</v>
      </c>
      <c r="D37" s="3" t="s">
        <v>532</v>
      </c>
    </row>
    <row r="38">
      <c r="A38" s="3" t="s">
        <v>542</v>
      </c>
      <c r="B38" s="3" t="s">
        <v>543</v>
      </c>
      <c r="C38" s="3" t="s">
        <v>544</v>
      </c>
      <c r="D38" s="3" t="s">
        <v>545</v>
      </c>
    </row>
    <row r="39">
      <c r="A39" s="3" t="s">
        <v>546</v>
      </c>
      <c r="B39" s="3" t="s">
        <v>437</v>
      </c>
      <c r="C39" s="3" t="s">
        <v>439</v>
      </c>
      <c r="D39" s="3" t="s">
        <v>307</v>
      </c>
    </row>
    <row r="40">
      <c r="A40" s="3" t="s">
        <v>547</v>
      </c>
      <c r="B40" s="3" t="s">
        <v>152</v>
      </c>
      <c r="C40" s="3" t="s">
        <v>548</v>
      </c>
      <c r="D40" s="3" t="s">
        <v>549</v>
      </c>
    </row>
    <row r="41">
      <c r="A41" s="3" t="s">
        <v>550</v>
      </c>
      <c r="B41" s="3" t="s">
        <v>551</v>
      </c>
      <c r="C41" s="3" t="s">
        <v>552</v>
      </c>
      <c r="D41" s="3" t="s">
        <v>553</v>
      </c>
    </row>
    <row r="42">
      <c r="A42" s="3" t="s">
        <v>554</v>
      </c>
      <c r="B42" s="3" t="s">
        <v>555</v>
      </c>
      <c r="C42" s="3" t="s">
        <v>556</v>
      </c>
      <c r="D42" s="3" t="s">
        <v>557</v>
      </c>
    </row>
    <row r="43">
      <c r="A43" s="3" t="s">
        <v>558</v>
      </c>
      <c r="B43" s="3" t="s">
        <v>555</v>
      </c>
      <c r="C43" s="3" t="s">
        <v>556</v>
      </c>
      <c r="D43" s="3" t="s">
        <v>557</v>
      </c>
    </row>
    <row r="44">
      <c r="A44" s="3" t="s">
        <v>559</v>
      </c>
      <c r="B44" s="3" t="s">
        <v>226</v>
      </c>
      <c r="C44" s="3" t="s">
        <v>561</v>
      </c>
      <c r="D44" s="3" t="s">
        <v>562</v>
      </c>
    </row>
    <row r="45">
      <c r="A45" s="3" t="s">
        <v>565</v>
      </c>
      <c r="B45" s="3" t="s">
        <v>566</v>
      </c>
      <c r="C45" s="3" t="s">
        <v>568</v>
      </c>
      <c r="D45" s="3" t="s">
        <v>571</v>
      </c>
    </row>
    <row r="46">
      <c r="A46" s="3" t="s">
        <v>572</v>
      </c>
      <c r="B46" s="3" t="s">
        <v>573</v>
      </c>
      <c r="C46" s="3" t="s">
        <v>574</v>
      </c>
      <c r="D46" s="3" t="s">
        <v>26</v>
      </c>
    </row>
    <row r="47">
      <c r="A47" s="3" t="s">
        <v>575</v>
      </c>
      <c r="B47" s="3" t="s">
        <v>573</v>
      </c>
      <c r="C47" s="3" t="s">
        <v>574</v>
      </c>
      <c r="D47" s="3" t="s">
        <v>26</v>
      </c>
    </row>
    <row r="48">
      <c r="A48" s="3" t="s">
        <v>576</v>
      </c>
      <c r="B48" s="3" t="s">
        <v>577</v>
      </c>
      <c r="C48" s="3" t="s">
        <v>578</v>
      </c>
      <c r="D48" s="3" t="s">
        <v>579</v>
      </c>
    </row>
    <row r="49">
      <c r="A49" s="3" t="s">
        <v>580</v>
      </c>
      <c r="B49" s="3" t="s">
        <v>269</v>
      </c>
      <c r="C49" s="3" t="s">
        <v>581</v>
      </c>
      <c r="D49" s="3" t="s">
        <v>582</v>
      </c>
    </row>
    <row r="50">
      <c r="A50" s="3" t="s">
        <v>583</v>
      </c>
      <c r="B50" s="3" t="s">
        <v>584</v>
      </c>
      <c r="C50" s="3" t="s">
        <v>585</v>
      </c>
      <c r="D50" s="3" t="s">
        <v>586</v>
      </c>
    </row>
    <row r="51">
      <c r="A51" s="3" t="s">
        <v>587</v>
      </c>
      <c r="B51" s="3" t="s">
        <v>588</v>
      </c>
      <c r="C51" s="3" t="s">
        <v>589</v>
      </c>
      <c r="D51" s="3" t="s">
        <v>590</v>
      </c>
    </row>
    <row r="52">
      <c r="A52" s="3" t="s">
        <v>591</v>
      </c>
      <c r="B52" s="3" t="s">
        <v>592</v>
      </c>
      <c r="C52" s="3" t="s">
        <v>593</v>
      </c>
      <c r="D52" s="3" t="s">
        <v>595</v>
      </c>
    </row>
    <row r="53">
      <c r="A53" s="3" t="s">
        <v>596</v>
      </c>
      <c r="B53" s="3" t="s">
        <v>597</v>
      </c>
      <c r="C53" s="3" t="s">
        <v>598</v>
      </c>
      <c r="D53" s="3" t="s">
        <v>600</v>
      </c>
    </row>
    <row r="54">
      <c r="A54" s="3" t="s">
        <v>601</v>
      </c>
      <c r="B54" s="3" t="s">
        <v>176</v>
      </c>
      <c r="C54" s="3" t="s">
        <v>488</v>
      </c>
      <c r="D54" s="3" t="s">
        <v>489</v>
      </c>
    </row>
    <row r="55">
      <c r="A55" s="3" t="s">
        <v>602</v>
      </c>
      <c r="B55" s="3" t="s">
        <v>603</v>
      </c>
      <c r="C55" s="3" t="s">
        <v>604</v>
      </c>
      <c r="D55" s="3" t="s">
        <v>605</v>
      </c>
    </row>
    <row r="56">
      <c r="A56" s="3" t="s">
        <v>606</v>
      </c>
      <c r="B56" s="3" t="s">
        <v>607</v>
      </c>
      <c r="C56" s="3" t="s">
        <v>608</v>
      </c>
      <c r="D56" s="3" t="s">
        <v>609</v>
      </c>
    </row>
    <row r="57">
      <c r="A57" s="3" t="s">
        <v>610</v>
      </c>
      <c r="B57" s="3" t="s">
        <v>611</v>
      </c>
      <c r="C57" s="3" t="s">
        <v>608</v>
      </c>
      <c r="D57" s="3" t="s">
        <v>612</v>
      </c>
    </row>
    <row r="58">
      <c r="A58" s="3" t="s">
        <v>613</v>
      </c>
      <c r="B58" s="3" t="s">
        <v>577</v>
      </c>
      <c r="C58" s="3" t="s">
        <v>614</v>
      </c>
      <c r="D58" s="3" t="s">
        <v>615</v>
      </c>
    </row>
    <row r="59">
      <c r="A59" s="3" t="s">
        <v>616</v>
      </c>
      <c r="B59" s="3" t="s">
        <v>617</v>
      </c>
      <c r="C59" s="3" t="s">
        <v>618</v>
      </c>
      <c r="D59" s="3" t="s">
        <v>619</v>
      </c>
    </row>
    <row r="60">
      <c r="A60" s="3" t="s">
        <v>620</v>
      </c>
      <c r="B60" s="3" t="s">
        <v>573</v>
      </c>
      <c r="C60" s="3" t="s">
        <v>574</v>
      </c>
      <c r="D60" s="3" t="s">
        <v>26</v>
      </c>
    </row>
    <row r="61">
      <c r="A61" s="3" t="s">
        <v>621</v>
      </c>
      <c r="B61" s="3" t="s">
        <v>573</v>
      </c>
      <c r="C61" s="3" t="s">
        <v>574</v>
      </c>
      <c r="D61" s="3" t="s">
        <v>26</v>
      </c>
    </row>
    <row r="62">
      <c r="A62" s="3" t="s">
        <v>622</v>
      </c>
      <c r="B62" s="3" t="s">
        <v>573</v>
      </c>
      <c r="C62" s="3" t="s">
        <v>574</v>
      </c>
      <c r="D62" s="3" t="s">
        <v>26</v>
      </c>
    </row>
    <row r="63">
      <c r="A63" s="3" t="s">
        <v>623</v>
      </c>
      <c r="B63" s="3" t="s">
        <v>573</v>
      </c>
      <c r="C63" s="3" t="s">
        <v>574</v>
      </c>
      <c r="D63" s="3" t="s">
        <v>26</v>
      </c>
    </row>
    <row r="64">
      <c r="A64" s="3" t="s">
        <v>626</v>
      </c>
      <c r="B64" s="3" t="s">
        <v>573</v>
      </c>
      <c r="C64" s="3" t="s">
        <v>574</v>
      </c>
      <c r="D64" s="3" t="s">
        <v>26</v>
      </c>
    </row>
    <row r="65">
      <c r="A65" s="3" t="s">
        <v>629</v>
      </c>
      <c r="B65" s="3" t="s">
        <v>630</v>
      </c>
      <c r="C65" s="3" t="s">
        <v>631</v>
      </c>
      <c r="D65" s="3" t="s">
        <v>632</v>
      </c>
    </row>
    <row r="66">
      <c r="A66" s="3" t="s">
        <v>633</v>
      </c>
      <c r="B66" s="3" t="s">
        <v>630</v>
      </c>
      <c r="C66" s="3" t="s">
        <v>631</v>
      </c>
      <c r="D66" s="3" t="s">
        <v>632</v>
      </c>
    </row>
    <row r="67">
      <c r="A67" s="3" t="s">
        <v>634</v>
      </c>
      <c r="B67" s="3" t="s">
        <v>603</v>
      </c>
      <c r="C67" s="3" t="s">
        <v>635</v>
      </c>
      <c r="D67" s="3" t="s">
        <v>605</v>
      </c>
    </row>
    <row r="68">
      <c r="A68" s="3" t="s">
        <v>636</v>
      </c>
      <c r="B68" s="3" t="s">
        <v>573</v>
      </c>
      <c r="C68" s="3" t="s">
        <v>574</v>
      </c>
      <c r="D68" s="3" t="s">
        <v>26</v>
      </c>
    </row>
    <row r="69">
      <c r="A69" s="3" t="s">
        <v>638</v>
      </c>
      <c r="B69" s="3" t="s">
        <v>573</v>
      </c>
      <c r="C69" s="3" t="s">
        <v>574</v>
      </c>
      <c r="D69" s="3" t="s">
        <v>26</v>
      </c>
    </row>
    <row r="70">
      <c r="A70" s="3" t="s">
        <v>639</v>
      </c>
      <c r="B70" s="3" t="s">
        <v>573</v>
      </c>
      <c r="C70" s="3" t="s">
        <v>574</v>
      </c>
      <c r="D70" s="3" t="s">
        <v>26</v>
      </c>
    </row>
    <row r="71">
      <c r="A71" s="3" t="s">
        <v>640</v>
      </c>
      <c r="B71" s="3" t="s">
        <v>641</v>
      </c>
      <c r="C71" s="3" t="s">
        <v>642</v>
      </c>
      <c r="D71" s="3" t="s">
        <v>643</v>
      </c>
    </row>
    <row r="72">
      <c r="A72" s="3" t="s">
        <v>644</v>
      </c>
      <c r="B72" s="3" t="s">
        <v>573</v>
      </c>
      <c r="C72" s="3" t="s">
        <v>574</v>
      </c>
      <c r="D72" s="3" t="s">
        <v>643</v>
      </c>
    </row>
    <row r="73">
      <c r="A73" s="3" t="s">
        <v>645</v>
      </c>
      <c r="B73" s="3" t="s">
        <v>573</v>
      </c>
      <c r="C73" s="3" t="s">
        <v>574</v>
      </c>
      <c r="D73" s="3" t="s">
        <v>643</v>
      </c>
    </row>
    <row r="74">
      <c r="A74" s="3" t="s">
        <v>646</v>
      </c>
      <c r="B74" s="3" t="s">
        <v>226</v>
      </c>
      <c r="C74" s="3" t="s">
        <v>561</v>
      </c>
      <c r="D74" s="3" t="s">
        <v>647</v>
      </c>
    </row>
    <row r="75">
      <c r="A75" s="3" t="s">
        <v>648</v>
      </c>
      <c r="B75" s="3" t="s">
        <v>226</v>
      </c>
      <c r="C75" s="3" t="s">
        <v>561</v>
      </c>
      <c r="D75" s="3" t="s">
        <v>647</v>
      </c>
    </row>
    <row r="76">
      <c r="A76" s="3" t="s">
        <v>649</v>
      </c>
      <c r="B76" s="3" t="s">
        <v>226</v>
      </c>
      <c r="C76" s="3" t="s">
        <v>561</v>
      </c>
      <c r="D76" s="3" t="s">
        <v>650</v>
      </c>
    </row>
    <row r="77">
      <c r="A77" s="3" t="s">
        <v>651</v>
      </c>
      <c r="B77" s="3" t="s">
        <v>176</v>
      </c>
      <c r="C77" s="3" t="s">
        <v>551</v>
      </c>
      <c r="D77" s="3" t="s">
        <v>178</v>
      </c>
    </row>
    <row r="78">
      <c r="A78" s="3" t="s">
        <v>652</v>
      </c>
      <c r="B78" s="3" t="s">
        <v>257</v>
      </c>
      <c r="C78" s="3" t="s">
        <v>653</v>
      </c>
      <c r="D78" s="3" t="s">
        <v>259</v>
      </c>
    </row>
    <row r="79">
      <c r="A79" s="3" t="s">
        <v>654</v>
      </c>
      <c r="B79" s="3" t="s">
        <v>655</v>
      </c>
      <c r="C79" s="3" t="s">
        <v>656</v>
      </c>
      <c r="D79" s="3" t="s">
        <v>657</v>
      </c>
    </row>
    <row r="80">
      <c r="A80" s="3" t="s">
        <v>658</v>
      </c>
      <c r="B80" s="3" t="s">
        <v>660</v>
      </c>
      <c r="C80" s="3" t="s">
        <v>661</v>
      </c>
      <c r="D80" s="3" t="s">
        <v>662</v>
      </c>
    </row>
    <row r="81">
      <c r="A81" s="3" t="s">
        <v>663</v>
      </c>
      <c r="B81" s="3" t="s">
        <v>665</v>
      </c>
      <c r="C81" s="3" t="s">
        <v>666</v>
      </c>
      <c r="D81" s="3" t="s">
        <v>460</v>
      </c>
    </row>
    <row r="82">
      <c r="A82" s="3" t="s">
        <v>669</v>
      </c>
      <c r="B82" s="3" t="s">
        <v>670</v>
      </c>
      <c r="C82" s="3" t="s">
        <v>671</v>
      </c>
      <c r="D82" s="3" t="s">
        <v>672</v>
      </c>
    </row>
    <row r="83">
      <c r="A83" s="3" t="s">
        <v>673</v>
      </c>
      <c r="B83" s="3" t="s">
        <v>25</v>
      </c>
      <c r="C83" s="3" t="s">
        <v>674</v>
      </c>
      <c r="D83" s="3" t="s">
        <v>26</v>
      </c>
    </row>
    <row r="84">
      <c r="A84" s="3" t="s">
        <v>675</v>
      </c>
      <c r="B84" s="3" t="s">
        <v>676</v>
      </c>
      <c r="C84" s="3" t="s">
        <v>674</v>
      </c>
      <c r="D84" s="3" t="s">
        <v>26</v>
      </c>
    </row>
    <row r="85">
      <c r="A85" s="3" t="s">
        <v>677</v>
      </c>
      <c r="B85" s="3" t="s">
        <v>678</v>
      </c>
      <c r="C85" s="3" t="s">
        <v>674</v>
      </c>
      <c r="D85" s="3" t="s">
        <v>679</v>
      </c>
    </row>
    <row r="86">
      <c r="A86" s="3" t="s">
        <v>680</v>
      </c>
      <c r="B86" s="3" t="s">
        <v>682</v>
      </c>
      <c r="C86" s="3" t="s">
        <v>674</v>
      </c>
      <c r="D86" s="3" t="s">
        <v>683</v>
      </c>
    </row>
    <row r="87">
      <c r="A87" s="3" t="s">
        <v>684</v>
      </c>
      <c r="B87" s="3" t="s">
        <v>685</v>
      </c>
      <c r="C87" s="3" t="s">
        <v>674</v>
      </c>
      <c r="D87" s="3" t="s">
        <v>686</v>
      </c>
    </row>
    <row r="88">
      <c r="A88" s="3" t="s">
        <v>687</v>
      </c>
      <c r="B88" s="3" t="s">
        <v>688</v>
      </c>
      <c r="C88" s="3" t="s">
        <v>674</v>
      </c>
      <c r="D88" s="3" t="s">
        <v>689</v>
      </c>
    </row>
    <row r="89">
      <c r="A89" s="3" t="s">
        <v>690</v>
      </c>
      <c r="B89" s="3" t="s">
        <v>691</v>
      </c>
      <c r="C89" s="3" t="s">
        <v>674</v>
      </c>
      <c r="D89" s="3" t="s">
        <v>336</v>
      </c>
    </row>
    <row r="90">
      <c r="A90" s="3" t="s">
        <v>692</v>
      </c>
      <c r="B90" s="3" t="s">
        <v>693</v>
      </c>
      <c r="C90" s="3" t="s">
        <v>674</v>
      </c>
      <c r="D90" s="3" t="s">
        <v>694</v>
      </c>
    </row>
    <row r="91">
      <c r="A91" s="3" t="s">
        <v>695</v>
      </c>
      <c r="B91" s="3" t="s">
        <v>676</v>
      </c>
      <c r="C91" s="3" t="s">
        <v>674</v>
      </c>
      <c r="D91" s="3" t="s">
        <v>26</v>
      </c>
    </row>
    <row r="92">
      <c r="A92" s="3" t="s">
        <v>696</v>
      </c>
      <c r="B92" s="3" t="s">
        <v>676</v>
      </c>
      <c r="C92" s="3" t="s">
        <v>674</v>
      </c>
      <c r="D92" s="3" t="s">
        <v>26</v>
      </c>
    </row>
    <row r="93">
      <c r="A93" s="3" t="s">
        <v>697</v>
      </c>
      <c r="B93" s="3" t="s">
        <v>641</v>
      </c>
      <c r="C93" s="3" t="s">
        <v>674</v>
      </c>
      <c r="D93" s="3" t="s">
        <v>26</v>
      </c>
    </row>
    <row r="94">
      <c r="A94" s="3" t="s">
        <v>698</v>
      </c>
      <c r="B94" s="3" t="s">
        <v>699</v>
      </c>
      <c r="C94" s="3" t="s">
        <v>674</v>
      </c>
      <c r="D94" s="3" t="s">
        <v>26</v>
      </c>
    </row>
    <row r="95">
      <c r="A95" s="3" t="s">
        <v>701</v>
      </c>
      <c r="B95" s="3" t="s">
        <v>703</v>
      </c>
      <c r="C95" s="3" t="s">
        <v>674</v>
      </c>
      <c r="D95" s="3" t="s">
        <v>704</v>
      </c>
    </row>
    <row r="96">
      <c r="A96" s="3" t="s">
        <v>705</v>
      </c>
      <c r="B96" s="3" t="s">
        <v>706</v>
      </c>
      <c r="C96" s="3" t="s">
        <v>674</v>
      </c>
      <c r="D96" s="3" t="s">
        <v>704</v>
      </c>
    </row>
    <row r="97">
      <c r="A97" s="3" t="s">
        <v>710</v>
      </c>
      <c r="B97" s="3" t="s">
        <v>676</v>
      </c>
      <c r="C97" s="3" t="s">
        <v>674</v>
      </c>
      <c r="D97" s="3" t="s">
        <v>26</v>
      </c>
    </row>
    <row r="98">
      <c r="A98" s="3" t="s">
        <v>712</v>
      </c>
      <c r="B98" s="3" t="s">
        <v>713</v>
      </c>
      <c r="C98" s="3" t="s">
        <v>674</v>
      </c>
      <c r="D98" s="3" t="s">
        <v>704</v>
      </c>
    </row>
    <row r="99">
      <c r="A99" s="3" t="s">
        <v>714</v>
      </c>
      <c r="B99" s="3" t="s">
        <v>641</v>
      </c>
      <c r="C99" s="3" t="s">
        <v>674</v>
      </c>
      <c r="D99" s="3" t="s">
        <v>26</v>
      </c>
    </row>
    <row r="100">
      <c r="A100" s="3" t="s">
        <v>716</v>
      </c>
      <c r="B100" s="3" t="s">
        <v>676</v>
      </c>
      <c r="C100" s="3" t="s">
        <v>674</v>
      </c>
      <c r="D100" s="3" t="s">
        <v>26</v>
      </c>
    </row>
    <row r="101">
      <c r="A101" s="3" t="s">
        <v>717</v>
      </c>
      <c r="B101" s="3" t="s">
        <v>676</v>
      </c>
      <c r="C101" s="3" t="s">
        <v>674</v>
      </c>
      <c r="D101" s="3" t="s">
        <v>718</v>
      </c>
    </row>
    <row r="102">
      <c r="A102" s="3" t="s">
        <v>719</v>
      </c>
      <c r="B102" s="3" t="s">
        <v>43</v>
      </c>
      <c r="C102" s="3" t="s">
        <v>674</v>
      </c>
      <c r="D102" s="3" t="s">
        <v>44</v>
      </c>
    </row>
    <row r="103">
      <c r="A103" s="3" t="s">
        <v>720</v>
      </c>
      <c r="B103" s="3" t="s">
        <v>721</v>
      </c>
      <c r="C103" s="3" t="s">
        <v>674</v>
      </c>
      <c r="D103" s="3" t="s">
        <v>722</v>
      </c>
    </row>
    <row r="104">
      <c r="A104" s="3" t="s">
        <v>723</v>
      </c>
      <c r="B104" s="3" t="s">
        <v>724</v>
      </c>
      <c r="C104" s="3" t="s">
        <v>674</v>
      </c>
      <c r="D104" s="3" t="s">
        <v>725</v>
      </c>
    </row>
    <row r="105">
      <c r="A105" s="3" t="s">
        <v>726</v>
      </c>
      <c r="B105" s="3" t="s">
        <v>727</v>
      </c>
      <c r="C105" s="3" t="s">
        <v>674</v>
      </c>
      <c r="D105" s="3" t="s">
        <v>728</v>
      </c>
    </row>
    <row r="106">
      <c r="A106" s="3" t="s">
        <v>729</v>
      </c>
      <c r="B106" s="3" t="s">
        <v>730</v>
      </c>
      <c r="C106" s="3" t="s">
        <v>674</v>
      </c>
      <c r="D106" s="3" t="s">
        <v>731</v>
      </c>
    </row>
    <row r="107">
      <c r="A107" s="3" t="s">
        <v>732</v>
      </c>
      <c r="B107" s="3" t="s">
        <v>676</v>
      </c>
      <c r="C107" s="3" t="s">
        <v>674</v>
      </c>
      <c r="D107" s="3" t="s">
        <v>733</v>
      </c>
    </row>
    <row r="108">
      <c r="A108" s="3" t="s">
        <v>734</v>
      </c>
      <c r="B108" s="3" t="s">
        <v>735</v>
      </c>
      <c r="C108" s="3" t="s">
        <v>674</v>
      </c>
      <c r="D108" s="3" t="s">
        <v>26</v>
      </c>
    </row>
    <row r="109">
      <c r="A109" s="3" t="s">
        <v>736</v>
      </c>
      <c r="B109" s="3" t="s">
        <v>676</v>
      </c>
      <c r="C109" s="3" t="s">
        <v>674</v>
      </c>
      <c r="D109" s="3" t="s">
        <v>26</v>
      </c>
    </row>
    <row r="110">
      <c r="A110" s="3" t="s">
        <v>737</v>
      </c>
      <c r="B110" s="3" t="s">
        <v>676</v>
      </c>
      <c r="C110" s="3" t="s">
        <v>674</v>
      </c>
      <c r="D110" s="3" t="s">
        <v>26</v>
      </c>
    </row>
    <row r="111">
      <c r="A111" s="3" t="s">
        <v>738</v>
      </c>
      <c r="B111" s="3" t="s">
        <v>676</v>
      </c>
      <c r="C111" s="3" t="s">
        <v>674</v>
      </c>
      <c r="D111" s="3" t="s">
        <v>26</v>
      </c>
    </row>
    <row r="112">
      <c r="A112" s="3" t="s">
        <v>739</v>
      </c>
      <c r="B112" s="3" t="s">
        <v>43</v>
      </c>
      <c r="C112" s="3" t="s">
        <v>674</v>
      </c>
      <c r="D112" s="3" t="s">
        <v>44</v>
      </c>
    </row>
    <row r="113">
      <c r="A113" s="3" t="s">
        <v>740</v>
      </c>
      <c r="B113" s="3" t="s">
        <v>741</v>
      </c>
      <c r="C113" s="3" t="s">
        <v>674</v>
      </c>
      <c r="D113" s="3" t="s">
        <v>742</v>
      </c>
    </row>
    <row r="114">
      <c r="A114" s="3" t="s">
        <v>743</v>
      </c>
      <c r="B114" s="3" t="s">
        <v>676</v>
      </c>
      <c r="C114" s="3" t="s">
        <v>674</v>
      </c>
      <c r="D114" s="3" t="s">
        <v>745</v>
      </c>
    </row>
    <row r="115">
      <c r="A115" s="3" t="s">
        <v>747</v>
      </c>
      <c r="B115" s="3" t="s">
        <v>748</v>
      </c>
      <c r="C115" s="3" t="s">
        <v>674</v>
      </c>
      <c r="D115" s="3" t="s">
        <v>749</v>
      </c>
    </row>
    <row r="116">
      <c r="A116" s="3" t="s">
        <v>751</v>
      </c>
      <c r="B116" s="3" t="s">
        <v>752</v>
      </c>
      <c r="C116" s="3" t="s">
        <v>674</v>
      </c>
      <c r="D116" s="3" t="s">
        <v>754</v>
      </c>
    </row>
    <row r="117">
      <c r="A117" s="3" t="s">
        <v>755</v>
      </c>
      <c r="B117" s="3" t="s">
        <v>25</v>
      </c>
      <c r="C117" s="3" t="s">
        <v>674</v>
      </c>
      <c r="D117" s="3" t="s">
        <v>26</v>
      </c>
    </row>
    <row r="118">
      <c r="A118" s="3" t="s">
        <v>756</v>
      </c>
      <c r="B118" s="3" t="s">
        <v>641</v>
      </c>
      <c r="C118" s="3" t="s">
        <v>674</v>
      </c>
      <c r="D118" s="3" t="s">
        <v>26</v>
      </c>
    </row>
    <row r="119">
      <c r="A119" s="3" t="s">
        <v>757</v>
      </c>
      <c r="B119" s="3" t="s">
        <v>758</v>
      </c>
      <c r="C119" s="3" t="s">
        <v>674</v>
      </c>
      <c r="D119" s="3" t="s">
        <v>26</v>
      </c>
    </row>
    <row r="120">
      <c r="A120" s="3" t="s">
        <v>759</v>
      </c>
      <c r="B120" s="3" t="s">
        <v>760</v>
      </c>
      <c r="C120" s="3" t="s">
        <v>674</v>
      </c>
      <c r="D120" s="3" t="s">
        <v>26</v>
      </c>
    </row>
    <row r="121">
      <c r="A121" s="3" t="s">
        <v>761</v>
      </c>
      <c r="B121" s="3" t="s">
        <v>762</v>
      </c>
      <c r="C121" s="3" t="s">
        <v>674</v>
      </c>
      <c r="D121" s="3" t="s">
        <v>763</v>
      </c>
    </row>
    <row r="122">
      <c r="A122" s="3" t="s">
        <v>764</v>
      </c>
      <c r="B122" s="3" t="s">
        <v>765</v>
      </c>
      <c r="C122" s="3" t="s">
        <v>674</v>
      </c>
      <c r="D122" s="3" t="s">
        <v>766</v>
      </c>
    </row>
    <row r="123">
      <c r="A123" s="3" t="s">
        <v>767</v>
      </c>
      <c r="B123" s="3" t="s">
        <v>543</v>
      </c>
      <c r="C123" s="3" t="s">
        <v>674</v>
      </c>
      <c r="D123" s="3" t="s">
        <v>768</v>
      </c>
    </row>
    <row r="124">
      <c r="A124" s="3" t="s">
        <v>769</v>
      </c>
      <c r="B124" s="3" t="s">
        <v>770</v>
      </c>
      <c r="C124" s="3" t="s">
        <v>674</v>
      </c>
      <c r="D124" s="3" t="s">
        <v>771</v>
      </c>
    </row>
    <row r="125">
      <c r="A125" s="3" t="s">
        <v>772</v>
      </c>
      <c r="B125" s="3" t="s">
        <v>773</v>
      </c>
      <c r="C125" s="3" t="s">
        <v>674</v>
      </c>
      <c r="D125" s="3" t="s">
        <v>774</v>
      </c>
    </row>
    <row r="126">
      <c r="A126" s="3" t="s">
        <v>775</v>
      </c>
      <c r="B126" s="3" t="s">
        <v>776</v>
      </c>
      <c r="C126" s="3" t="s">
        <v>674</v>
      </c>
      <c r="D126" s="3" t="s">
        <v>777</v>
      </c>
    </row>
    <row r="127">
      <c r="A127" s="3" t="s">
        <v>778</v>
      </c>
      <c r="B127" s="3" t="s">
        <v>779</v>
      </c>
      <c r="C127" s="3" t="s">
        <v>674</v>
      </c>
      <c r="D127" s="3" t="s">
        <v>780</v>
      </c>
    </row>
    <row r="128">
      <c r="A128" s="3" t="s">
        <v>781</v>
      </c>
      <c r="B128" s="3" t="s">
        <v>782</v>
      </c>
      <c r="C128" s="3" t="s">
        <v>674</v>
      </c>
      <c r="D128" s="3" t="s">
        <v>783</v>
      </c>
    </row>
    <row r="129">
      <c r="A129" s="3" t="s">
        <v>784</v>
      </c>
      <c r="B129" s="3" t="s">
        <v>676</v>
      </c>
      <c r="C129" s="3" t="s">
        <v>674</v>
      </c>
      <c r="D129" s="3" t="s">
        <v>26</v>
      </c>
    </row>
    <row r="130">
      <c r="A130" s="3" t="s">
        <v>785</v>
      </c>
      <c r="B130" s="3" t="s">
        <v>721</v>
      </c>
      <c r="C130" s="3" t="s">
        <v>674</v>
      </c>
      <c r="D130" s="3" t="s">
        <v>722</v>
      </c>
    </row>
    <row r="131">
      <c r="A131" s="3" t="s">
        <v>786</v>
      </c>
      <c r="B131" s="3" t="s">
        <v>787</v>
      </c>
      <c r="C131" s="3" t="s">
        <v>674</v>
      </c>
      <c r="D131" s="3" t="s">
        <v>788</v>
      </c>
    </row>
    <row r="132">
      <c r="A132" s="3" t="s">
        <v>789</v>
      </c>
      <c r="B132" s="3" t="s">
        <v>8</v>
      </c>
      <c r="C132" s="3" t="s">
        <v>674</v>
      </c>
      <c r="D132" s="3" t="s">
        <v>216</v>
      </c>
    </row>
    <row r="133">
      <c r="A133" s="3" t="s">
        <v>791</v>
      </c>
      <c r="B133" s="3" t="s">
        <v>792</v>
      </c>
      <c r="C133" s="3" t="s">
        <v>674</v>
      </c>
      <c r="D133" s="3" t="s">
        <v>794</v>
      </c>
    </row>
    <row r="134">
      <c r="A134" s="3" t="s">
        <v>796</v>
      </c>
      <c r="B134" s="3" t="s">
        <v>797</v>
      </c>
      <c r="C134" s="3" t="s">
        <v>674</v>
      </c>
      <c r="D134" s="3" t="s">
        <v>799</v>
      </c>
    </row>
    <row r="135">
      <c r="A135" s="3" t="s">
        <v>800</v>
      </c>
      <c r="B135" s="3" t="s">
        <v>801</v>
      </c>
      <c r="C135" s="3" t="s">
        <v>674</v>
      </c>
      <c r="D135" s="3" t="s">
        <v>802</v>
      </c>
    </row>
    <row r="136">
      <c r="A136" s="3" t="s">
        <v>803</v>
      </c>
      <c r="B136" s="3" t="s">
        <v>16</v>
      </c>
      <c r="C136" s="3" t="s">
        <v>674</v>
      </c>
      <c r="D136" s="3" t="s">
        <v>214</v>
      </c>
    </row>
    <row r="137">
      <c r="A137" s="3" t="s">
        <v>804</v>
      </c>
      <c r="B137" s="3" t="s">
        <v>805</v>
      </c>
      <c r="C137" s="3" t="s">
        <v>674</v>
      </c>
      <c r="D137" s="3" t="s">
        <v>806</v>
      </c>
    </row>
    <row r="138">
      <c r="A138" s="3" t="s">
        <v>807</v>
      </c>
      <c r="B138" s="3" t="s">
        <v>42</v>
      </c>
      <c r="C138" s="3" t="s">
        <v>674</v>
      </c>
      <c r="D138" s="3" t="s">
        <v>240</v>
      </c>
    </row>
    <row r="139">
      <c r="A139" s="3" t="s">
        <v>808</v>
      </c>
      <c r="B139" s="3" t="s">
        <v>53</v>
      </c>
      <c r="C139" s="3" t="s">
        <v>674</v>
      </c>
      <c r="D139" s="3" t="s">
        <v>809</v>
      </c>
    </row>
    <row r="140">
      <c r="A140" s="3" t="s">
        <v>810</v>
      </c>
      <c r="B140" s="3" t="s">
        <v>811</v>
      </c>
      <c r="C140" s="3" t="s">
        <v>674</v>
      </c>
      <c r="D140" s="3" t="s">
        <v>812</v>
      </c>
    </row>
    <row r="141">
      <c r="A141" s="3" t="s">
        <v>813</v>
      </c>
      <c r="B141" s="3" t="s">
        <v>8</v>
      </c>
      <c r="C141" s="3" t="s">
        <v>674</v>
      </c>
      <c r="D141" s="3" t="s">
        <v>216</v>
      </c>
    </row>
    <row r="142">
      <c r="A142" s="3" t="s">
        <v>814</v>
      </c>
      <c r="B142" s="3" t="s">
        <v>815</v>
      </c>
      <c r="C142" s="3" t="s">
        <v>674</v>
      </c>
      <c r="D142" s="3" t="s">
        <v>816</v>
      </c>
    </row>
    <row r="143">
      <c r="A143" s="3" t="s">
        <v>817</v>
      </c>
      <c r="B143" s="3" t="s">
        <v>818</v>
      </c>
      <c r="C143" s="3" t="s">
        <v>674</v>
      </c>
      <c r="D143" s="3" t="s">
        <v>819</v>
      </c>
    </row>
    <row r="144">
      <c r="A144" s="3" t="s">
        <v>820</v>
      </c>
      <c r="B144" s="3" t="s">
        <v>821</v>
      </c>
      <c r="C144" s="3" t="s">
        <v>674</v>
      </c>
      <c r="D144" s="3" t="s">
        <v>822</v>
      </c>
    </row>
    <row r="145">
      <c r="A145" s="3" t="s">
        <v>823</v>
      </c>
      <c r="B145" s="3" t="s">
        <v>821</v>
      </c>
      <c r="C145" s="3" t="s">
        <v>674</v>
      </c>
      <c r="D145" s="3" t="s">
        <v>822</v>
      </c>
    </row>
    <row r="146">
      <c r="A146" s="3" t="s">
        <v>824</v>
      </c>
      <c r="B146" s="3" t="s">
        <v>821</v>
      </c>
      <c r="C146" s="3" t="s">
        <v>674</v>
      </c>
      <c r="D146" s="3" t="s">
        <v>822</v>
      </c>
    </row>
    <row r="147">
      <c r="A147" s="3" t="s">
        <v>825</v>
      </c>
      <c r="B147" s="3" t="s">
        <v>826</v>
      </c>
      <c r="C147" s="3" t="s">
        <v>674</v>
      </c>
      <c r="D147" s="3" t="s">
        <v>827</v>
      </c>
    </row>
    <row r="148">
      <c r="A148" s="3" t="s">
        <v>828</v>
      </c>
      <c r="B148" s="3" t="s">
        <v>829</v>
      </c>
      <c r="C148" s="3" t="s">
        <v>674</v>
      </c>
      <c r="D148" s="3" t="s">
        <v>830</v>
      </c>
    </row>
    <row r="149">
      <c r="A149" s="3" t="s">
        <v>831</v>
      </c>
      <c r="B149" s="3" t="s">
        <v>832</v>
      </c>
      <c r="C149" s="3" t="s">
        <v>674</v>
      </c>
      <c r="D149" s="3" t="s">
        <v>833</v>
      </c>
    </row>
    <row r="150">
      <c r="A150" s="3" t="s">
        <v>834</v>
      </c>
      <c r="B150" s="3" t="s">
        <v>835</v>
      </c>
      <c r="C150" s="3" t="s">
        <v>674</v>
      </c>
      <c r="D150" s="3" t="s">
        <v>837</v>
      </c>
    </row>
    <row r="151">
      <c r="A151" s="3" t="s">
        <v>838</v>
      </c>
      <c r="B151" s="3" t="s">
        <v>839</v>
      </c>
      <c r="C151" s="3" t="s">
        <v>674</v>
      </c>
      <c r="D151" s="3" t="s">
        <v>841</v>
      </c>
    </row>
    <row r="152">
      <c r="A152" s="3" t="s">
        <v>843</v>
      </c>
      <c r="B152" s="3" t="s">
        <v>676</v>
      </c>
      <c r="C152" s="3" t="s">
        <v>674</v>
      </c>
      <c r="D152" s="3" t="s">
        <v>26</v>
      </c>
    </row>
    <row r="153">
      <c r="A153" s="3" t="s">
        <v>845</v>
      </c>
      <c r="B153" s="3" t="s">
        <v>676</v>
      </c>
      <c r="C153" s="3" t="s">
        <v>674</v>
      </c>
      <c r="D153" s="3" t="s">
        <v>26</v>
      </c>
    </row>
    <row r="154">
      <c r="A154" s="3" t="s">
        <v>846</v>
      </c>
      <c r="B154" s="3" t="s">
        <v>847</v>
      </c>
      <c r="C154" s="3" t="s">
        <v>674</v>
      </c>
      <c r="D154" s="3" t="s">
        <v>848</v>
      </c>
    </row>
    <row r="155">
      <c r="A155" s="3" t="s">
        <v>849</v>
      </c>
      <c r="B155" s="3" t="s">
        <v>850</v>
      </c>
      <c r="C155" s="3" t="s">
        <v>674</v>
      </c>
      <c r="D155" s="3" t="s">
        <v>851</v>
      </c>
    </row>
    <row r="156">
      <c r="A156" s="3" t="s">
        <v>852</v>
      </c>
      <c r="B156" s="3" t="s">
        <v>396</v>
      </c>
      <c r="C156" s="3" t="s">
        <v>674</v>
      </c>
      <c r="D156" s="3" t="s">
        <v>853</v>
      </c>
    </row>
    <row r="157">
      <c r="A157" s="3" t="s">
        <v>854</v>
      </c>
      <c r="B157" s="3" t="s">
        <v>396</v>
      </c>
      <c r="C157" s="3" t="s">
        <v>674</v>
      </c>
      <c r="D157" s="3" t="s">
        <v>853</v>
      </c>
    </row>
    <row r="158">
      <c r="A158" s="3" t="s">
        <v>855</v>
      </c>
      <c r="B158" s="3" t="s">
        <v>856</v>
      </c>
      <c r="C158" s="3" t="s">
        <v>674</v>
      </c>
      <c r="D158" s="3" t="s">
        <v>857</v>
      </c>
    </row>
    <row r="159">
      <c r="A159" s="3" t="s">
        <v>858</v>
      </c>
      <c r="B159" s="3" t="s">
        <v>48</v>
      </c>
      <c r="C159" s="3" t="s">
        <v>674</v>
      </c>
      <c r="D159" s="3" t="s">
        <v>259</v>
      </c>
    </row>
    <row r="160">
      <c r="A160" s="3" t="s">
        <v>859</v>
      </c>
      <c r="B160" s="3" t="s">
        <v>860</v>
      </c>
      <c r="C160" s="3" t="s">
        <v>674</v>
      </c>
      <c r="D160" s="3" t="s">
        <v>861</v>
      </c>
    </row>
    <row r="161">
      <c r="A161" s="3" t="s">
        <v>862</v>
      </c>
      <c r="B161" s="3" t="s">
        <v>863</v>
      </c>
      <c r="C161" s="3" t="s">
        <v>674</v>
      </c>
      <c r="D161" s="3" t="s">
        <v>864</v>
      </c>
    </row>
    <row r="162">
      <c r="A162" s="3" t="s">
        <v>865</v>
      </c>
      <c r="B162" s="3" t="s">
        <v>866</v>
      </c>
      <c r="C162" s="3" t="s">
        <v>674</v>
      </c>
      <c r="D162" s="3" t="s">
        <v>867</v>
      </c>
    </row>
    <row r="163">
      <c r="A163" s="3" t="s">
        <v>868</v>
      </c>
      <c r="B163" s="3" t="s">
        <v>869</v>
      </c>
      <c r="C163" s="3" t="s">
        <v>674</v>
      </c>
      <c r="D163" s="3" t="s">
        <v>870</v>
      </c>
    </row>
    <row r="164">
      <c r="A164" s="3" t="s">
        <v>871</v>
      </c>
      <c r="B164" s="3" t="s">
        <v>676</v>
      </c>
      <c r="C164" s="3" t="s">
        <v>674</v>
      </c>
      <c r="D164" s="3" t="s">
        <v>26</v>
      </c>
    </row>
    <row r="165">
      <c r="A165" s="3" t="s">
        <v>872</v>
      </c>
      <c r="B165" s="3" t="s">
        <v>873</v>
      </c>
      <c r="C165" s="3" t="s">
        <v>674</v>
      </c>
      <c r="D165" s="3" t="s">
        <v>874</v>
      </c>
    </row>
    <row r="166">
      <c r="A166" s="3" t="s">
        <v>875</v>
      </c>
      <c r="B166" s="3" t="s">
        <v>876</v>
      </c>
      <c r="C166" s="3" t="s">
        <v>674</v>
      </c>
      <c r="D166" s="3" t="s">
        <v>877</v>
      </c>
    </row>
    <row r="167">
      <c r="A167" s="3" t="s">
        <v>878</v>
      </c>
      <c r="B167" s="3" t="s">
        <v>25</v>
      </c>
      <c r="C167" s="3" t="s">
        <v>674</v>
      </c>
      <c r="D167" s="3" t="s">
        <v>26</v>
      </c>
    </row>
    <row r="168">
      <c r="A168" s="3" t="s">
        <v>879</v>
      </c>
      <c r="B168" s="3" t="s">
        <v>43</v>
      </c>
      <c r="C168" s="3" t="s">
        <v>674</v>
      </c>
      <c r="D168" s="3" t="s">
        <v>44</v>
      </c>
    </row>
    <row r="169">
      <c r="A169" s="3" t="s">
        <v>880</v>
      </c>
      <c r="B169" s="3" t="s">
        <v>881</v>
      </c>
      <c r="C169" s="3" t="s">
        <v>674</v>
      </c>
      <c r="D169" s="3" t="s">
        <v>718</v>
      </c>
    </row>
    <row r="170">
      <c r="A170" s="3" t="s">
        <v>882</v>
      </c>
      <c r="B170" s="3" t="s">
        <v>883</v>
      </c>
      <c r="C170" s="3" t="s">
        <v>674</v>
      </c>
      <c r="D170" s="3" t="s">
        <v>884</v>
      </c>
    </row>
    <row r="171">
      <c r="A171" s="3" t="s">
        <v>885</v>
      </c>
      <c r="B171" s="3" t="s">
        <v>484</v>
      </c>
      <c r="C171" s="3" t="s">
        <v>674</v>
      </c>
      <c r="D171" s="3" t="s">
        <v>297</v>
      </c>
    </row>
    <row r="172">
      <c r="A172" s="3" t="s">
        <v>887</v>
      </c>
      <c r="B172" s="3" t="s">
        <v>888</v>
      </c>
      <c r="C172" s="3" t="s">
        <v>674</v>
      </c>
      <c r="D172" s="3" t="s">
        <v>890</v>
      </c>
    </row>
    <row r="173">
      <c r="A173" s="3" t="s">
        <v>892</v>
      </c>
      <c r="B173" s="3" t="s">
        <v>888</v>
      </c>
      <c r="C173" s="3" t="s">
        <v>674</v>
      </c>
      <c r="D173" s="3" t="s">
        <v>890</v>
      </c>
    </row>
    <row r="174">
      <c r="A174" s="3" t="s">
        <v>893</v>
      </c>
      <c r="B174" s="3" t="s">
        <v>894</v>
      </c>
      <c r="C174" s="3" t="s">
        <v>674</v>
      </c>
      <c r="D174" s="3" t="s">
        <v>895</v>
      </c>
    </row>
    <row r="175">
      <c r="A175" s="3" t="s">
        <v>896</v>
      </c>
      <c r="B175" s="3" t="s">
        <v>897</v>
      </c>
      <c r="C175" s="3" t="s">
        <v>674</v>
      </c>
      <c r="D175" s="3" t="s">
        <v>898</v>
      </c>
    </row>
    <row r="176">
      <c r="A176" s="3" t="s">
        <v>899</v>
      </c>
      <c r="B176" s="3" t="s">
        <v>888</v>
      </c>
      <c r="C176" s="3" t="s">
        <v>674</v>
      </c>
      <c r="D176" s="3" t="s">
        <v>890</v>
      </c>
    </row>
    <row r="177">
      <c r="A177" s="3" t="s">
        <v>900</v>
      </c>
      <c r="B177" s="3" t="s">
        <v>676</v>
      </c>
      <c r="C177" s="3" t="s">
        <v>674</v>
      </c>
      <c r="D177" s="3" t="s">
        <v>26</v>
      </c>
    </row>
    <row r="178">
      <c r="A178" s="3" t="s">
        <v>901</v>
      </c>
      <c r="B178" s="3" t="s">
        <v>43</v>
      </c>
      <c r="C178" s="3" t="s">
        <v>674</v>
      </c>
      <c r="D178" s="3" t="s">
        <v>44</v>
      </c>
    </row>
    <row r="179">
      <c r="A179" s="3" t="s">
        <v>903</v>
      </c>
      <c r="B179" s="3" t="s">
        <v>904</v>
      </c>
      <c r="C179" s="3" t="s">
        <v>674</v>
      </c>
      <c r="D179" s="3" t="s">
        <v>905</v>
      </c>
    </row>
    <row r="180">
      <c r="A180" s="3" t="s">
        <v>906</v>
      </c>
      <c r="B180" s="3" t="s">
        <v>82</v>
      </c>
      <c r="C180" s="3" t="s">
        <v>674</v>
      </c>
      <c r="D180" s="3" t="s">
        <v>907</v>
      </c>
    </row>
    <row r="181">
      <c r="A181" s="3" t="s">
        <v>908</v>
      </c>
      <c r="B181" s="3" t="s">
        <v>888</v>
      </c>
      <c r="C181" s="3" t="s">
        <v>674</v>
      </c>
      <c r="D181" s="3" t="s">
        <v>890</v>
      </c>
    </row>
    <row r="182">
      <c r="A182" s="3" t="s">
        <v>909</v>
      </c>
      <c r="B182" s="3" t="s">
        <v>801</v>
      </c>
      <c r="C182" s="3" t="s">
        <v>674</v>
      </c>
      <c r="D182" s="3" t="s">
        <v>802</v>
      </c>
    </row>
    <row r="183">
      <c r="A183" s="3" t="s">
        <v>910</v>
      </c>
      <c r="B183" s="3" t="s">
        <v>912</v>
      </c>
      <c r="C183" s="3" t="s">
        <v>674</v>
      </c>
      <c r="D183" s="3" t="s">
        <v>913</v>
      </c>
    </row>
    <row r="184">
      <c r="A184" s="3" t="s">
        <v>914</v>
      </c>
      <c r="B184" s="3" t="s">
        <v>676</v>
      </c>
      <c r="C184" s="3" t="s">
        <v>674</v>
      </c>
      <c r="D184" s="3" t="s">
        <v>26</v>
      </c>
    </row>
    <row r="185">
      <c r="A185" s="3" t="s">
        <v>915</v>
      </c>
      <c r="B185" s="3" t="s">
        <v>916</v>
      </c>
      <c r="C185" s="3" t="s">
        <v>674</v>
      </c>
      <c r="D185" s="3" t="s">
        <v>917</v>
      </c>
    </row>
    <row r="186">
      <c r="A186" s="3" t="s">
        <v>918</v>
      </c>
      <c r="B186" s="3" t="s">
        <v>919</v>
      </c>
      <c r="C186" s="3" t="s">
        <v>674</v>
      </c>
      <c r="D186" s="3" t="s">
        <v>920</v>
      </c>
    </row>
    <row r="187">
      <c r="A187" s="3" t="s">
        <v>921</v>
      </c>
      <c r="B187" s="3" t="s">
        <v>922</v>
      </c>
      <c r="C187" s="3" t="s">
        <v>674</v>
      </c>
      <c r="D187" s="3" t="s">
        <v>923</v>
      </c>
    </row>
    <row r="188">
      <c r="A188" s="3" t="s">
        <v>924</v>
      </c>
      <c r="B188" s="3" t="s">
        <v>925</v>
      </c>
      <c r="C188" s="3" t="s">
        <v>674</v>
      </c>
      <c r="D188" s="3" t="s">
        <v>926</v>
      </c>
    </row>
    <row r="189">
      <c r="A189" s="3" t="s">
        <v>927</v>
      </c>
      <c r="B189" s="3" t="s">
        <v>43</v>
      </c>
      <c r="C189" s="3" t="s">
        <v>674</v>
      </c>
      <c r="D189" s="3" t="s">
        <v>681</v>
      </c>
    </row>
    <row r="190">
      <c r="A190" s="3" t="s">
        <v>928</v>
      </c>
      <c r="B190" s="3" t="s">
        <v>929</v>
      </c>
      <c r="C190" s="3" t="s">
        <v>674</v>
      </c>
      <c r="D190" s="3" t="s">
        <v>930</v>
      </c>
    </row>
    <row r="191">
      <c r="A191" s="3" t="s">
        <v>931</v>
      </c>
      <c r="B191" s="3" t="s">
        <v>932</v>
      </c>
      <c r="C191" s="3" t="s">
        <v>674</v>
      </c>
      <c r="D191" s="3" t="s">
        <v>933</v>
      </c>
    </row>
    <row r="192">
      <c r="A192" s="3" t="s">
        <v>934</v>
      </c>
      <c r="B192" s="3" t="s">
        <v>25</v>
      </c>
      <c r="C192" s="3" t="s">
        <v>674</v>
      </c>
      <c r="D192" s="3" t="s">
        <v>936</v>
      </c>
    </row>
    <row r="193">
      <c r="A193" s="3" t="s">
        <v>937</v>
      </c>
      <c r="B193" s="3" t="s">
        <v>938</v>
      </c>
      <c r="C193" s="3" t="s">
        <v>674</v>
      </c>
      <c r="D193" s="3" t="s">
        <v>940</v>
      </c>
    </row>
    <row r="194">
      <c r="A194" s="3" t="s">
        <v>941</v>
      </c>
      <c r="B194" s="3" t="s">
        <v>942</v>
      </c>
      <c r="C194" s="3" t="s">
        <v>674</v>
      </c>
      <c r="D194" s="3" t="s">
        <v>943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3.88"/>
    <col customWidth="1" min="5" max="5" width="26.0"/>
    <col customWidth="1" min="6" max="14" width="18.88"/>
  </cols>
  <sheetData>
    <row r="1" ht="22.5" customHeight="1">
      <c r="A1" s="8" t="s">
        <v>9</v>
      </c>
      <c r="B1" s="33" t="s">
        <v>31</v>
      </c>
      <c r="C1" s="33" t="s">
        <v>34</v>
      </c>
      <c r="D1" s="33" t="s">
        <v>5</v>
      </c>
      <c r="E1" s="8" t="s">
        <v>911</v>
      </c>
      <c r="F1" s="8" t="s">
        <v>47</v>
      </c>
      <c r="G1" s="8" t="s">
        <v>50</v>
      </c>
      <c r="H1" s="8" t="s">
        <v>52</v>
      </c>
      <c r="I1" s="8" t="s">
        <v>54</v>
      </c>
      <c r="J1" s="8" t="s">
        <v>56</v>
      </c>
      <c r="K1" s="8" t="s">
        <v>69</v>
      </c>
      <c r="L1" s="8" t="s">
        <v>73</v>
      </c>
      <c r="M1" s="8" t="s">
        <v>76</v>
      </c>
      <c r="N1" s="8" t="s">
        <v>78</v>
      </c>
    </row>
    <row r="2" ht="22.5" customHeight="1">
      <c r="A2" s="18">
        <v>45861.53671460648</v>
      </c>
      <c r="B2" s="19" t="s">
        <v>573</v>
      </c>
      <c r="C2" s="19" t="s">
        <v>574</v>
      </c>
      <c r="D2" s="19" t="s">
        <v>26</v>
      </c>
      <c r="E2" s="19" t="s">
        <v>939</v>
      </c>
      <c r="F2" s="19">
        <v>45.0</v>
      </c>
      <c r="G2" s="19">
        <v>55.0</v>
      </c>
      <c r="H2" s="19">
        <v>66.0</v>
      </c>
      <c r="I2" s="19" t="s">
        <v>160</v>
      </c>
      <c r="J2" s="19">
        <v>88.0</v>
      </c>
      <c r="K2" s="22" t="str">
        <f t="array" ref="K2:K246">IF(A2:A246="", "", IFERROR(INDEX('Recal IDs Log'!B:B, MATCH(A2:A246, 'Recal IDs Log'!A:A, 0)), ""))</f>
        <v/>
      </c>
      <c r="L2" s="19">
        <f t="array" ref="L2:L246">IF(ISBLANK(A2:A246), "", IFERROR(VLOOKUP(ROW(A2:A246), {ROW('Calculations &amp; Lookup'!A2:A246), 'Calculations &amp; Lookup'!AF2:AF246}, 2, FALSE),""))</f>
        <v>56</v>
      </c>
      <c r="M2" s="19" t="str">
        <f t="array" ref="M2:M246">IF(ISBLANK(A2:A246), "", IFERROR(VLOOKUP(ROW(A2:A246), {ROW('Calculations &amp; Lookup'!A2:A246), 'Calculations &amp; Lookup'!AG2:AG246}, 2, FALSE),""))</f>
        <v>Fair</v>
      </c>
      <c r="N2" s="19" t="str">
        <f t="array" ref="N2:N246">IF(ISBLANK(A2:A246), "", IFERROR(VLOOKUP(ROW(A2:A246), {ROW('Calculations &amp; Lookup'!A2:A246), 'Calculations &amp; Lookup'!AH2:AH246}, 2, FALSE),""))</f>
        <v>Breather-in-Training</v>
      </c>
    </row>
    <row r="3" ht="22.5" customHeight="1">
      <c r="A3" s="18">
        <v>45861.563634074075</v>
      </c>
      <c r="B3" s="19" t="s">
        <v>573</v>
      </c>
      <c r="C3" s="19" t="s">
        <v>574</v>
      </c>
      <c r="D3" s="19" t="s">
        <v>972</v>
      </c>
      <c r="E3" s="19" t="s">
        <v>973</v>
      </c>
      <c r="F3" s="19">
        <v>45.0</v>
      </c>
      <c r="G3" s="19">
        <v>77.0</v>
      </c>
      <c r="H3" s="19">
        <v>55.0</v>
      </c>
      <c r="I3" s="19" t="s">
        <v>974</v>
      </c>
      <c r="J3" s="19">
        <v>89.0</v>
      </c>
      <c r="K3" s="22" t="s">
        <v>674</v>
      </c>
      <c r="L3" s="19"/>
      <c r="M3" s="19"/>
      <c r="N3" s="19"/>
    </row>
    <row r="4" ht="22.5" customHeight="1">
      <c r="A4" s="18">
        <v>45861.58468342593</v>
      </c>
      <c r="B4" s="19" t="s">
        <v>573</v>
      </c>
      <c r="C4" s="19" t="s">
        <v>574</v>
      </c>
      <c r="D4" s="19" t="s">
        <v>978</v>
      </c>
      <c r="E4" s="19" t="s">
        <v>980</v>
      </c>
      <c r="F4" s="19">
        <v>21.0</v>
      </c>
      <c r="G4" s="19">
        <v>44.0</v>
      </c>
      <c r="H4" s="19">
        <v>78.0</v>
      </c>
      <c r="I4" s="19" t="s">
        <v>101</v>
      </c>
      <c r="J4" s="19">
        <v>100.0</v>
      </c>
      <c r="K4" s="22" t="s">
        <v>674</v>
      </c>
      <c r="L4" s="19">
        <v>60.0</v>
      </c>
      <c r="M4" s="19" t="s">
        <v>313</v>
      </c>
      <c r="N4" s="19" t="s">
        <v>985</v>
      </c>
    </row>
    <row r="5" ht="22.5" customHeight="1">
      <c r="A5" s="18">
        <v>45861.58697767361</v>
      </c>
      <c r="B5" s="19" t="s">
        <v>573</v>
      </c>
      <c r="C5" s="19" t="s">
        <v>574</v>
      </c>
      <c r="D5" s="19" t="s">
        <v>989</v>
      </c>
      <c r="E5" s="19" t="s">
        <v>990</v>
      </c>
      <c r="F5" s="19">
        <v>56.0</v>
      </c>
      <c r="G5" s="19">
        <v>44.0</v>
      </c>
      <c r="H5" s="19">
        <v>71.0</v>
      </c>
      <c r="I5" s="19" t="s">
        <v>160</v>
      </c>
      <c r="J5" s="19">
        <v>76.0</v>
      </c>
      <c r="K5" s="22" t="s">
        <v>674</v>
      </c>
      <c r="L5" s="19">
        <v>57.99999999999999</v>
      </c>
      <c r="M5" s="19" t="s">
        <v>313</v>
      </c>
      <c r="N5" s="19" t="s">
        <v>985</v>
      </c>
    </row>
    <row r="6" ht="22.5" customHeight="1">
      <c r="A6" s="18">
        <v>45861.5993958912</v>
      </c>
      <c r="B6" s="19" t="s">
        <v>573</v>
      </c>
      <c r="C6" s="19" t="s">
        <v>574</v>
      </c>
      <c r="D6" s="19" t="s">
        <v>1001</v>
      </c>
      <c r="E6" s="19" t="s">
        <v>1004</v>
      </c>
      <c r="F6" s="19">
        <v>12.0</v>
      </c>
      <c r="G6" s="19">
        <v>55.0</v>
      </c>
      <c r="H6" s="19">
        <v>67.0</v>
      </c>
      <c r="I6" s="19" t="s">
        <v>385</v>
      </c>
      <c r="J6" s="19">
        <v>88.0</v>
      </c>
      <c r="K6" s="22" t="s">
        <v>674</v>
      </c>
      <c r="L6" s="19">
        <v>34.0</v>
      </c>
      <c r="M6" s="19" t="s">
        <v>164</v>
      </c>
      <c r="N6" s="19" t="s">
        <v>208</v>
      </c>
    </row>
    <row r="7" ht="22.5" customHeight="1">
      <c r="A7" s="18">
        <v>45861.61057733797</v>
      </c>
      <c r="B7" s="19" t="s">
        <v>573</v>
      </c>
      <c r="C7" s="19" t="s">
        <v>574</v>
      </c>
      <c r="D7" s="19" t="s">
        <v>1010</v>
      </c>
      <c r="E7" s="19" t="s">
        <v>939</v>
      </c>
      <c r="F7" s="19">
        <v>55.0</v>
      </c>
      <c r="G7" s="19">
        <v>23.0</v>
      </c>
      <c r="H7" s="19">
        <v>34.0</v>
      </c>
      <c r="I7" s="19" t="s">
        <v>438</v>
      </c>
      <c r="J7" s="19">
        <v>88.0</v>
      </c>
      <c r="K7" s="22" t="s">
        <v>674</v>
      </c>
      <c r="L7" s="19">
        <v>44.0</v>
      </c>
      <c r="M7" s="19" t="s">
        <v>164</v>
      </c>
      <c r="N7" s="19" t="s">
        <v>208</v>
      </c>
    </row>
    <row r="8" ht="22.5" customHeight="1">
      <c r="A8" s="18">
        <v>45861.613132569444</v>
      </c>
      <c r="B8" s="19" t="s">
        <v>573</v>
      </c>
      <c r="C8" s="19" t="s">
        <v>574</v>
      </c>
      <c r="D8" s="19" t="s">
        <v>1019</v>
      </c>
      <c r="E8" s="19" t="s">
        <v>1020</v>
      </c>
      <c r="F8" s="19">
        <v>45.0</v>
      </c>
      <c r="G8" s="19">
        <v>55.0</v>
      </c>
      <c r="H8" s="19">
        <v>66.0</v>
      </c>
      <c r="I8" s="19" t="s">
        <v>385</v>
      </c>
      <c r="J8" s="19">
        <v>56.0</v>
      </c>
      <c r="K8" s="22" t="s">
        <v>674</v>
      </c>
      <c r="L8" s="19">
        <v>40.0</v>
      </c>
      <c r="M8" s="19" t="s">
        <v>164</v>
      </c>
      <c r="N8" s="19" t="s">
        <v>208</v>
      </c>
    </row>
    <row r="9" ht="22.5" customHeight="1">
      <c r="A9" s="18">
        <v>45861.61529627314</v>
      </c>
      <c r="B9" s="19" t="s">
        <v>573</v>
      </c>
      <c r="C9" s="19" t="s">
        <v>574</v>
      </c>
      <c r="D9" s="19" t="s">
        <v>1022</v>
      </c>
      <c r="E9" s="19" t="s">
        <v>1023</v>
      </c>
      <c r="F9" s="19">
        <v>55.0</v>
      </c>
      <c r="G9" s="19">
        <v>66.0</v>
      </c>
      <c r="H9" s="19">
        <v>77.0</v>
      </c>
      <c r="I9" s="19" t="s">
        <v>715</v>
      </c>
      <c r="J9" s="19">
        <v>88.0</v>
      </c>
      <c r="K9" s="22" t="s">
        <v>674</v>
      </c>
      <c r="L9" s="19">
        <v>56.00000000000001</v>
      </c>
      <c r="M9" s="19" t="s">
        <v>313</v>
      </c>
      <c r="N9" s="19" t="s">
        <v>985</v>
      </c>
    </row>
    <row r="10" ht="22.5" customHeight="1">
      <c r="A10" s="18">
        <v>45861.628134259256</v>
      </c>
      <c r="B10" s="19" t="s">
        <v>573</v>
      </c>
      <c r="C10" s="19" t="s">
        <v>574</v>
      </c>
      <c r="D10" s="19" t="s">
        <v>1024</v>
      </c>
      <c r="E10" s="19" t="s">
        <v>939</v>
      </c>
      <c r="F10" s="19">
        <v>23.0</v>
      </c>
      <c r="G10" s="19">
        <v>64.0</v>
      </c>
      <c r="H10" s="19">
        <v>72.0</v>
      </c>
      <c r="I10" s="19" t="s">
        <v>101</v>
      </c>
      <c r="J10" s="19">
        <v>93.0</v>
      </c>
      <c r="K10" s="22" t="s">
        <v>674</v>
      </c>
      <c r="L10" s="19">
        <v>64.0</v>
      </c>
      <c r="M10" s="19" t="s">
        <v>313</v>
      </c>
      <c r="N10" s="19" t="s">
        <v>985</v>
      </c>
    </row>
    <row r="11" ht="22.5" customHeight="1">
      <c r="A11" s="18">
        <v>45861.63017184028</v>
      </c>
      <c r="B11" s="19" t="s">
        <v>573</v>
      </c>
      <c r="C11" s="19" t="s">
        <v>574</v>
      </c>
      <c r="D11" s="19" t="s">
        <v>1025</v>
      </c>
      <c r="E11" s="19">
        <v>34.0</v>
      </c>
      <c r="F11" s="19">
        <v>44.0</v>
      </c>
      <c r="G11" s="19">
        <v>55.0</v>
      </c>
      <c r="H11" s="19">
        <v>34.0</v>
      </c>
      <c r="I11" s="19" t="s">
        <v>370</v>
      </c>
      <c r="J11" s="19">
        <v>67.0</v>
      </c>
      <c r="K11" s="22" t="s">
        <v>674</v>
      </c>
      <c r="L11" s="19">
        <v>60.0</v>
      </c>
      <c r="M11" s="19" t="s">
        <v>313</v>
      </c>
      <c r="N11" s="19" t="s">
        <v>985</v>
      </c>
    </row>
    <row r="12" ht="22.5" customHeight="1">
      <c r="A12" s="18">
        <v>45861.64620405092</v>
      </c>
      <c r="B12" s="19" t="s">
        <v>573</v>
      </c>
      <c r="C12" s="19" t="s">
        <v>574</v>
      </c>
      <c r="D12" s="19" t="s">
        <v>26</v>
      </c>
      <c r="E12" s="19" t="s">
        <v>1027</v>
      </c>
      <c r="F12" s="19">
        <v>34.0</v>
      </c>
      <c r="G12" s="19">
        <v>44.0</v>
      </c>
      <c r="H12" s="19">
        <v>33.0</v>
      </c>
      <c r="I12" s="19" t="s">
        <v>385</v>
      </c>
      <c r="J12" s="19">
        <v>79.0</v>
      </c>
      <c r="K12" s="22" t="s">
        <v>674</v>
      </c>
      <c r="L12" s="19">
        <v>26.0</v>
      </c>
      <c r="M12" s="19" t="s">
        <v>252</v>
      </c>
      <c r="N12" s="19" t="s">
        <v>971</v>
      </c>
    </row>
    <row r="13" ht="22.5" customHeight="1">
      <c r="A13" s="18">
        <v>45861.64693042824</v>
      </c>
      <c r="B13" s="19" t="s">
        <v>1030</v>
      </c>
      <c r="C13" s="19" t="s">
        <v>1031</v>
      </c>
      <c r="D13" s="19" t="s">
        <v>26</v>
      </c>
      <c r="E13" s="19" t="s">
        <v>1032</v>
      </c>
      <c r="F13" s="19">
        <v>22.0</v>
      </c>
      <c r="G13" s="19">
        <v>44.0</v>
      </c>
      <c r="H13" s="19">
        <v>66.0</v>
      </c>
      <c r="I13" s="19" t="s">
        <v>715</v>
      </c>
      <c r="J13" s="19">
        <v>88.0</v>
      </c>
      <c r="K13" s="22" t="s">
        <v>674</v>
      </c>
      <c r="L13" s="19">
        <v>40.0</v>
      </c>
      <c r="M13" s="19" t="s">
        <v>164</v>
      </c>
      <c r="N13" s="19" t="s">
        <v>208</v>
      </c>
    </row>
    <row r="14" ht="22.5" customHeight="1">
      <c r="A14" s="18">
        <v>45867.717146006944</v>
      </c>
      <c r="B14" s="19" t="s">
        <v>573</v>
      </c>
      <c r="C14" s="19" t="s">
        <v>574</v>
      </c>
      <c r="D14" s="19" t="s">
        <v>1019</v>
      </c>
      <c r="E14" s="19" t="s">
        <v>939</v>
      </c>
      <c r="F14" s="19">
        <v>22.0</v>
      </c>
      <c r="G14" s="19">
        <v>33.0</v>
      </c>
      <c r="H14" s="19">
        <v>45.0</v>
      </c>
      <c r="I14" s="19" t="s">
        <v>160</v>
      </c>
      <c r="J14" s="19">
        <v>66.0</v>
      </c>
      <c r="K14" s="22" t="s">
        <v>674</v>
      </c>
      <c r="L14" s="19">
        <v>34.0</v>
      </c>
      <c r="M14" s="19" t="s">
        <v>164</v>
      </c>
      <c r="N14" s="19" t="s">
        <v>208</v>
      </c>
    </row>
    <row r="15" ht="22.5" customHeight="1">
      <c r="A15" s="18">
        <v>45867.745908807876</v>
      </c>
      <c r="B15" s="19" t="s">
        <v>573</v>
      </c>
      <c r="C15" s="19" t="s">
        <v>574</v>
      </c>
      <c r="D15" s="19" t="s">
        <v>1036</v>
      </c>
      <c r="E15" s="19" t="s">
        <v>1037</v>
      </c>
      <c r="F15" s="19">
        <v>32.0</v>
      </c>
      <c r="G15" s="19">
        <v>44.0</v>
      </c>
      <c r="H15" s="19">
        <v>55.0</v>
      </c>
      <c r="I15" s="19" t="s">
        <v>385</v>
      </c>
      <c r="J15" s="19">
        <v>77.0</v>
      </c>
      <c r="K15" s="22" t="s">
        <v>674</v>
      </c>
      <c r="L15" s="22">
        <v>38.0</v>
      </c>
      <c r="M15" s="22" t="s">
        <v>164</v>
      </c>
      <c r="N15" s="22" t="s">
        <v>208</v>
      </c>
    </row>
    <row r="16" ht="22.5" customHeight="1">
      <c r="A16" s="18">
        <v>45867.81837828703</v>
      </c>
      <c r="B16" s="19" t="s">
        <v>1039</v>
      </c>
      <c r="C16" s="19" t="s">
        <v>1040</v>
      </c>
      <c r="D16" s="19" t="s">
        <v>1041</v>
      </c>
      <c r="E16" s="19" t="s">
        <v>1042</v>
      </c>
      <c r="F16" s="19">
        <v>23.0</v>
      </c>
      <c r="G16" s="19">
        <v>34.0</v>
      </c>
      <c r="H16" s="19">
        <v>44.0</v>
      </c>
      <c r="I16" s="19" t="s">
        <v>370</v>
      </c>
      <c r="J16" s="19">
        <v>56.0</v>
      </c>
      <c r="K16" s="22" t="s">
        <v>674</v>
      </c>
      <c r="L16" s="22">
        <v>50.0</v>
      </c>
      <c r="M16" s="22" t="s">
        <v>313</v>
      </c>
      <c r="N16" s="22" t="s">
        <v>985</v>
      </c>
    </row>
    <row r="17" ht="22.5" customHeight="1">
      <c r="A17" s="18">
        <v>45867.82862858796</v>
      </c>
      <c r="B17" s="19" t="s">
        <v>1043</v>
      </c>
      <c r="C17" s="19" t="s">
        <v>1044</v>
      </c>
      <c r="D17" s="19" t="s">
        <v>1045</v>
      </c>
      <c r="E17" s="19" t="s">
        <v>1046</v>
      </c>
      <c r="F17" s="19">
        <v>33.0</v>
      </c>
      <c r="G17" s="19">
        <v>45.0</v>
      </c>
      <c r="H17" s="19">
        <v>44.0</v>
      </c>
      <c r="I17" s="19" t="s">
        <v>160</v>
      </c>
      <c r="J17" s="19">
        <v>77.0</v>
      </c>
      <c r="K17" s="22" t="s">
        <v>674</v>
      </c>
      <c r="L17" s="22">
        <v>44.0</v>
      </c>
      <c r="M17" s="22" t="s">
        <v>164</v>
      </c>
      <c r="N17" s="22" t="s">
        <v>208</v>
      </c>
    </row>
    <row r="18" ht="22.5" customHeight="1">
      <c r="A18" s="18">
        <v>45867.84862258102</v>
      </c>
      <c r="B18" s="19" t="s">
        <v>552</v>
      </c>
      <c r="C18" s="19" t="s">
        <v>1048</v>
      </c>
      <c r="D18" s="19" t="s">
        <v>1049</v>
      </c>
      <c r="E18" s="19" t="s">
        <v>1050</v>
      </c>
      <c r="F18" s="19">
        <v>33.0</v>
      </c>
      <c r="G18" s="19">
        <v>45.0</v>
      </c>
      <c r="H18" s="19">
        <v>55.0</v>
      </c>
      <c r="I18" s="19" t="s">
        <v>370</v>
      </c>
      <c r="J18" s="19">
        <v>66.0</v>
      </c>
      <c r="K18" s="22" t="s">
        <v>674</v>
      </c>
      <c r="L18" s="22">
        <v>66.0</v>
      </c>
      <c r="M18" s="22" t="s">
        <v>374</v>
      </c>
      <c r="N18" s="22" t="s">
        <v>1005</v>
      </c>
    </row>
    <row r="19" ht="22.5" customHeight="1">
      <c r="A19" s="18">
        <v>45867.86230954861</v>
      </c>
      <c r="B19" s="19" t="s">
        <v>1063</v>
      </c>
      <c r="C19" s="19" t="s">
        <v>1068</v>
      </c>
      <c r="D19" s="19" t="s">
        <v>1070</v>
      </c>
      <c r="E19" s="19">
        <v>34.0</v>
      </c>
      <c r="F19" s="19">
        <v>44.0</v>
      </c>
      <c r="G19" s="19">
        <v>55.0</v>
      </c>
      <c r="H19" s="19">
        <v>67.0</v>
      </c>
      <c r="I19" s="19" t="s">
        <v>101</v>
      </c>
      <c r="J19" s="19">
        <v>89.0</v>
      </c>
      <c r="K19" s="22" t="s">
        <v>674</v>
      </c>
      <c r="L19" s="22">
        <v>62.0</v>
      </c>
      <c r="M19" s="22" t="s">
        <v>313</v>
      </c>
      <c r="N19" s="22" t="s">
        <v>985</v>
      </c>
    </row>
    <row r="20" ht="22.5" customHeight="1">
      <c r="A20" s="18">
        <v>45867.87408959491</v>
      </c>
      <c r="B20" s="19" t="s">
        <v>1095</v>
      </c>
      <c r="C20" s="19" t="s">
        <v>1097</v>
      </c>
      <c r="D20" s="19" t="s">
        <v>1100</v>
      </c>
      <c r="E20" s="19" t="s">
        <v>1102</v>
      </c>
      <c r="F20" s="19">
        <v>34.0</v>
      </c>
      <c r="G20" s="19">
        <v>45.0</v>
      </c>
      <c r="H20" s="19">
        <v>54.0</v>
      </c>
      <c r="I20" s="19" t="s">
        <v>385</v>
      </c>
      <c r="J20" s="19">
        <v>99.0</v>
      </c>
      <c r="K20" s="22" t="s">
        <v>674</v>
      </c>
      <c r="L20" s="22">
        <v>34.0</v>
      </c>
      <c r="M20" s="22" t="s">
        <v>164</v>
      </c>
      <c r="N20" s="22" t="s">
        <v>208</v>
      </c>
    </row>
    <row r="21" ht="22.5" customHeight="1">
      <c r="A21" s="18">
        <v>45867.906704594905</v>
      </c>
      <c r="B21" s="19" t="s">
        <v>573</v>
      </c>
      <c r="C21" s="19" t="s">
        <v>574</v>
      </c>
      <c r="D21" s="19" t="s">
        <v>1108</v>
      </c>
      <c r="E21" s="19" t="s">
        <v>1020</v>
      </c>
      <c r="F21" s="19">
        <v>26.0</v>
      </c>
      <c r="G21" s="19">
        <v>59.0</v>
      </c>
      <c r="H21" s="19">
        <v>62.0</v>
      </c>
      <c r="I21" s="19" t="s">
        <v>160</v>
      </c>
      <c r="J21" s="19">
        <v>79.0</v>
      </c>
      <c r="K21" s="22" t="s">
        <v>674</v>
      </c>
      <c r="L21" s="22">
        <v>52.0</v>
      </c>
      <c r="M21" s="22" t="s">
        <v>313</v>
      </c>
      <c r="N21" s="22" t="s">
        <v>985</v>
      </c>
    </row>
    <row r="22" ht="22.5" customHeight="1">
      <c r="A22" s="18">
        <v>45868.75993119213</v>
      </c>
      <c r="B22" s="19" t="s">
        <v>573</v>
      </c>
      <c r="C22" s="19" t="s">
        <v>574</v>
      </c>
      <c r="D22" s="19" t="s">
        <v>718</v>
      </c>
      <c r="E22" s="19">
        <v>33.0</v>
      </c>
      <c r="F22" s="19">
        <v>44.0</v>
      </c>
      <c r="G22" s="19">
        <v>52.0</v>
      </c>
      <c r="H22" s="19">
        <v>70.0</v>
      </c>
      <c r="I22" s="19" t="s">
        <v>438</v>
      </c>
      <c r="J22" s="19">
        <v>89.0</v>
      </c>
      <c r="K22" s="22" t="s">
        <v>674</v>
      </c>
      <c r="L22" s="22">
        <v>70.0</v>
      </c>
      <c r="M22" s="22" t="s">
        <v>374</v>
      </c>
      <c r="N22" s="22" t="s">
        <v>1005</v>
      </c>
    </row>
    <row r="23" ht="22.5" customHeight="1">
      <c r="A23" s="18">
        <v>45868.76347314815</v>
      </c>
      <c r="B23" s="19" t="s">
        <v>573</v>
      </c>
      <c r="C23" s="19" t="s">
        <v>574</v>
      </c>
      <c r="D23" s="19" t="s">
        <v>26</v>
      </c>
      <c r="E23" s="19" t="s">
        <v>939</v>
      </c>
      <c r="F23" s="19">
        <v>34.0</v>
      </c>
      <c r="G23" s="19">
        <v>43.0</v>
      </c>
      <c r="H23" s="19">
        <v>52.0</v>
      </c>
      <c r="I23" s="19" t="s">
        <v>160</v>
      </c>
      <c r="J23" s="19">
        <v>97.0</v>
      </c>
      <c r="K23" s="22" t="s">
        <v>674</v>
      </c>
      <c r="L23" s="22">
        <v>46.0</v>
      </c>
      <c r="M23" s="22" t="s">
        <v>164</v>
      </c>
      <c r="N23" s="22" t="s">
        <v>208</v>
      </c>
    </row>
    <row r="24" ht="22.5" customHeight="1">
      <c r="A24" s="18">
        <v>45868.77035106481</v>
      </c>
      <c r="B24" s="19" t="s">
        <v>1110</v>
      </c>
      <c r="C24" s="19" t="s">
        <v>1111</v>
      </c>
      <c r="D24" s="19" t="s">
        <v>26</v>
      </c>
      <c r="E24" s="19" t="s">
        <v>1112</v>
      </c>
      <c r="F24" s="19">
        <v>34.0</v>
      </c>
      <c r="G24" s="19">
        <v>21.0</v>
      </c>
      <c r="H24" s="19">
        <v>56.0</v>
      </c>
      <c r="I24" s="19" t="s">
        <v>370</v>
      </c>
      <c r="J24" s="19">
        <v>78.0</v>
      </c>
      <c r="K24" s="22" t="s">
        <v>674</v>
      </c>
      <c r="L24" s="22">
        <v>60.0</v>
      </c>
      <c r="M24" s="22" t="s">
        <v>313</v>
      </c>
      <c r="N24" s="22" t="s">
        <v>985</v>
      </c>
    </row>
    <row r="25" ht="22.5" customHeight="1">
      <c r="A25" s="18">
        <v>45868.778020682876</v>
      </c>
      <c r="B25" s="19" t="s">
        <v>573</v>
      </c>
      <c r="C25" s="19" t="s">
        <v>574</v>
      </c>
      <c r="D25" s="19" t="s">
        <v>718</v>
      </c>
      <c r="E25" s="19" t="s">
        <v>1114</v>
      </c>
      <c r="F25" s="19">
        <v>21.0</v>
      </c>
      <c r="G25" s="19">
        <v>34.0</v>
      </c>
      <c r="H25" s="19">
        <v>43.0</v>
      </c>
      <c r="I25" s="19" t="s">
        <v>385</v>
      </c>
      <c r="J25" s="19">
        <v>77.0</v>
      </c>
      <c r="K25" s="22" t="s">
        <v>674</v>
      </c>
      <c r="L25" s="22">
        <v>24.0</v>
      </c>
      <c r="M25" s="22" t="s">
        <v>252</v>
      </c>
      <c r="N25" s="22" t="s">
        <v>971</v>
      </c>
    </row>
    <row r="26" ht="22.5" customHeight="1">
      <c r="A26" s="18">
        <v>45868.79375195602</v>
      </c>
      <c r="B26" s="19" t="s">
        <v>1039</v>
      </c>
      <c r="C26" s="19" t="s">
        <v>1040</v>
      </c>
      <c r="D26" s="19" t="s">
        <v>26</v>
      </c>
      <c r="E26" s="19">
        <v>23.0</v>
      </c>
      <c r="F26" s="19">
        <v>23.0</v>
      </c>
      <c r="G26" s="19">
        <v>34.0</v>
      </c>
      <c r="H26" s="19">
        <v>55.0</v>
      </c>
      <c r="I26" s="19" t="s">
        <v>385</v>
      </c>
      <c r="J26" s="19">
        <v>99.0</v>
      </c>
      <c r="K26" s="22" t="s">
        <v>674</v>
      </c>
      <c r="L26" s="22">
        <v>32.0</v>
      </c>
      <c r="M26" s="22" t="s">
        <v>164</v>
      </c>
      <c r="N26" s="22" t="s">
        <v>208</v>
      </c>
    </row>
    <row r="27" ht="22.5" customHeight="1">
      <c r="A27" s="18">
        <v>45868.800925902775</v>
      </c>
      <c r="B27" s="19" t="s">
        <v>1063</v>
      </c>
      <c r="C27" s="19" t="s">
        <v>1068</v>
      </c>
      <c r="D27" s="19" t="s">
        <v>718</v>
      </c>
      <c r="E27" s="19" t="s">
        <v>1115</v>
      </c>
      <c r="F27" s="19">
        <v>23.0</v>
      </c>
      <c r="G27" s="19">
        <v>44.0</v>
      </c>
      <c r="H27" s="19">
        <v>52.0</v>
      </c>
      <c r="I27" s="19" t="s">
        <v>385</v>
      </c>
      <c r="J27" s="19">
        <v>89.0</v>
      </c>
      <c r="K27" s="22" t="s">
        <v>674</v>
      </c>
      <c r="L27" s="22">
        <v>28.000000000000004</v>
      </c>
      <c r="M27" s="22" t="s">
        <v>252</v>
      </c>
      <c r="N27" s="22" t="s">
        <v>971</v>
      </c>
    </row>
    <row r="28" ht="22.5" customHeight="1">
      <c r="A28" s="18">
        <v>45868.81022912037</v>
      </c>
      <c r="B28" s="19" t="s">
        <v>1117</v>
      </c>
      <c r="C28" s="19" t="s">
        <v>1118</v>
      </c>
      <c r="D28" s="19" t="s">
        <v>26</v>
      </c>
      <c r="E28" s="19" t="s">
        <v>1119</v>
      </c>
      <c r="F28" s="19">
        <v>34.0</v>
      </c>
      <c r="G28" s="19">
        <v>23.0</v>
      </c>
      <c r="H28" s="19">
        <v>55.0</v>
      </c>
      <c r="I28" s="19" t="s">
        <v>715</v>
      </c>
      <c r="J28" s="19">
        <v>66.0</v>
      </c>
      <c r="K28" s="22" t="s">
        <v>674</v>
      </c>
      <c r="L28" s="22">
        <v>34.0</v>
      </c>
      <c r="M28" s="22" t="s">
        <v>164</v>
      </c>
      <c r="N28" s="22" t="s">
        <v>208</v>
      </c>
    </row>
    <row r="29" ht="22.5" customHeight="1">
      <c r="A29" s="18">
        <v>45868.819844722224</v>
      </c>
      <c r="B29" s="19" t="s">
        <v>1121</v>
      </c>
      <c r="C29" s="19" t="s">
        <v>1123</v>
      </c>
      <c r="D29" s="19" t="s">
        <v>26</v>
      </c>
      <c r="E29" s="19" t="s">
        <v>1125</v>
      </c>
      <c r="F29" s="19">
        <v>23.0</v>
      </c>
      <c r="G29" s="19">
        <v>33.0</v>
      </c>
      <c r="H29" s="19">
        <v>55.0</v>
      </c>
      <c r="I29" s="19" t="s">
        <v>385</v>
      </c>
      <c r="J29" s="19">
        <v>67.0</v>
      </c>
      <c r="K29" s="22" t="s">
        <v>674</v>
      </c>
      <c r="L29" s="22">
        <v>28.000000000000004</v>
      </c>
      <c r="M29" s="22" t="s">
        <v>252</v>
      </c>
      <c r="N29" s="22" t="s">
        <v>971</v>
      </c>
    </row>
    <row r="30" ht="22.5" customHeight="1">
      <c r="A30" s="18">
        <v>45868.82515350694</v>
      </c>
      <c r="B30" s="19" t="s">
        <v>1127</v>
      </c>
      <c r="C30" s="19" t="s">
        <v>1128</v>
      </c>
      <c r="D30" s="19" t="s">
        <v>718</v>
      </c>
      <c r="E30" s="19" t="s">
        <v>1129</v>
      </c>
      <c r="F30" s="19">
        <v>23.0</v>
      </c>
      <c r="G30" s="19">
        <v>34.0</v>
      </c>
      <c r="H30" s="19">
        <v>45.0</v>
      </c>
      <c r="I30" s="19" t="s">
        <v>370</v>
      </c>
      <c r="J30" s="19">
        <v>88.0</v>
      </c>
      <c r="K30" s="22" t="s">
        <v>674</v>
      </c>
      <c r="L30" s="22">
        <v>54.0</v>
      </c>
      <c r="M30" s="22" t="s">
        <v>313</v>
      </c>
      <c r="N30" s="22" t="s">
        <v>985</v>
      </c>
    </row>
    <row r="31" ht="22.5" customHeight="1">
      <c r="A31" s="18">
        <v>45868.83045164352</v>
      </c>
      <c r="B31" s="19" t="s">
        <v>1130</v>
      </c>
      <c r="C31" s="19" t="s">
        <v>1131</v>
      </c>
      <c r="D31" s="19" t="s">
        <v>26</v>
      </c>
      <c r="E31" s="19" t="s">
        <v>1132</v>
      </c>
      <c r="F31" s="19">
        <v>23.0</v>
      </c>
      <c r="G31" s="19">
        <v>44.0</v>
      </c>
      <c r="H31" s="19">
        <v>55.0</v>
      </c>
      <c r="I31" s="19" t="s">
        <v>715</v>
      </c>
      <c r="J31" s="19">
        <v>99.0</v>
      </c>
      <c r="K31" s="22" t="s">
        <v>674</v>
      </c>
      <c r="L31" s="22">
        <v>42.0</v>
      </c>
      <c r="M31" s="22" t="s">
        <v>164</v>
      </c>
      <c r="N31" s="22" t="s">
        <v>208</v>
      </c>
    </row>
    <row r="32" ht="22.5" customHeight="1">
      <c r="A32" s="18">
        <v>45868.858484004624</v>
      </c>
      <c r="B32" s="19" t="s">
        <v>1134</v>
      </c>
      <c r="C32" s="19" t="s">
        <v>1135</v>
      </c>
      <c r="D32" s="19" t="s">
        <v>718</v>
      </c>
      <c r="E32" s="19" t="s">
        <v>1136</v>
      </c>
      <c r="F32" s="19">
        <v>34.0</v>
      </c>
      <c r="G32" s="19">
        <v>45.0</v>
      </c>
      <c r="H32" s="19">
        <v>56.0</v>
      </c>
      <c r="I32" s="19" t="s">
        <v>370</v>
      </c>
      <c r="J32" s="19">
        <v>56.0</v>
      </c>
      <c r="K32" s="22" t="s">
        <v>674</v>
      </c>
      <c r="L32" s="22">
        <v>64.0</v>
      </c>
      <c r="M32" s="22" t="s">
        <v>313</v>
      </c>
      <c r="N32" s="22" t="s">
        <v>985</v>
      </c>
    </row>
    <row r="33" ht="22.5" customHeight="1">
      <c r="A33" s="18">
        <v>45868.89313207176</v>
      </c>
      <c r="B33" s="19" t="s">
        <v>226</v>
      </c>
      <c r="C33" s="19" t="s">
        <v>561</v>
      </c>
      <c r="D33" s="19" t="s">
        <v>562</v>
      </c>
      <c r="E33" s="19" t="s">
        <v>939</v>
      </c>
      <c r="F33" s="19">
        <v>24.0</v>
      </c>
      <c r="G33" s="19">
        <v>75.0</v>
      </c>
      <c r="H33" s="19">
        <v>68.0</v>
      </c>
      <c r="I33" s="19" t="s">
        <v>370</v>
      </c>
      <c r="J33" s="19">
        <v>97.0</v>
      </c>
      <c r="K33" s="22" t="s">
        <v>674</v>
      </c>
      <c r="L33" s="22">
        <v>74.0</v>
      </c>
      <c r="M33" s="22" t="s">
        <v>374</v>
      </c>
      <c r="N33" s="22" t="s">
        <v>1005</v>
      </c>
    </row>
    <row r="34" ht="22.5" customHeight="1">
      <c r="A34" s="18">
        <v>45868.95613266204</v>
      </c>
      <c r="B34" s="19" t="s">
        <v>641</v>
      </c>
      <c r="C34" s="19" t="s">
        <v>1139</v>
      </c>
      <c r="D34" s="19" t="s">
        <v>26</v>
      </c>
      <c r="E34" s="19" t="s">
        <v>1140</v>
      </c>
      <c r="F34" s="19">
        <v>23.0</v>
      </c>
      <c r="G34" s="19">
        <v>34.0</v>
      </c>
      <c r="H34" s="19">
        <v>56.0</v>
      </c>
      <c r="I34" s="19" t="s">
        <v>370</v>
      </c>
      <c r="J34" s="19">
        <v>89.0</v>
      </c>
      <c r="K34" s="22" t="s">
        <v>674</v>
      </c>
      <c r="L34" s="22">
        <v>60.0</v>
      </c>
      <c r="M34" s="22" t="s">
        <v>313</v>
      </c>
      <c r="N34" s="22" t="s">
        <v>985</v>
      </c>
    </row>
    <row r="35" ht="22.5" customHeight="1">
      <c r="A35" s="18">
        <v>45869.00095236111</v>
      </c>
      <c r="B35" s="19" t="s">
        <v>1141</v>
      </c>
      <c r="C35" s="19" t="s">
        <v>1142</v>
      </c>
      <c r="D35" s="19" t="s">
        <v>718</v>
      </c>
      <c r="E35" s="19" t="s">
        <v>1143</v>
      </c>
      <c r="F35" s="19">
        <v>23.0</v>
      </c>
      <c r="G35" s="19">
        <v>45.0</v>
      </c>
      <c r="H35" s="19">
        <v>56.0</v>
      </c>
      <c r="I35" s="19" t="s">
        <v>370</v>
      </c>
      <c r="J35" s="19">
        <v>89.0</v>
      </c>
      <c r="K35" s="22" t="s">
        <v>674</v>
      </c>
      <c r="L35" s="22">
        <v>64.0</v>
      </c>
      <c r="M35" s="22" t="s">
        <v>313</v>
      </c>
      <c r="N35" s="22" t="s">
        <v>985</v>
      </c>
    </row>
    <row r="36" ht="22.5" customHeight="1">
      <c r="A36" s="18">
        <v>45869.021190451385</v>
      </c>
      <c r="B36" s="19" t="s">
        <v>1144</v>
      </c>
      <c r="C36" s="19" t="s">
        <v>1145</v>
      </c>
      <c r="D36" s="19" t="s">
        <v>718</v>
      </c>
      <c r="E36" s="19" t="s">
        <v>1146</v>
      </c>
      <c r="F36" s="19">
        <v>33.0</v>
      </c>
      <c r="G36" s="19">
        <v>45.0</v>
      </c>
      <c r="H36" s="19">
        <v>65.0</v>
      </c>
      <c r="I36" s="19" t="s">
        <v>370</v>
      </c>
      <c r="J36" s="19">
        <v>88.0</v>
      </c>
      <c r="K36" s="22" t="s">
        <v>674</v>
      </c>
      <c r="L36" s="22">
        <v>68.0</v>
      </c>
      <c r="M36" s="22" t="s">
        <v>374</v>
      </c>
      <c r="N36" s="22" t="s">
        <v>1005</v>
      </c>
    </row>
    <row r="37" ht="22.5" customHeight="1">
      <c r="A37" s="18">
        <v>45869.04345212963</v>
      </c>
      <c r="B37" s="19" t="s">
        <v>949</v>
      </c>
      <c r="C37" s="19" t="s">
        <v>1148</v>
      </c>
      <c r="D37" s="19" t="s">
        <v>26</v>
      </c>
      <c r="E37" s="19" t="s">
        <v>1149</v>
      </c>
      <c r="F37" s="19">
        <v>22.0</v>
      </c>
      <c r="G37" s="19">
        <v>34.0</v>
      </c>
      <c r="H37" s="19">
        <v>55.0</v>
      </c>
      <c r="I37" s="19" t="s">
        <v>385</v>
      </c>
      <c r="J37" s="19">
        <v>99.0</v>
      </c>
      <c r="K37" s="22" t="s">
        <v>674</v>
      </c>
      <c r="L37" s="22">
        <v>32.0</v>
      </c>
      <c r="M37" s="22" t="s">
        <v>164</v>
      </c>
      <c r="N37" s="22" t="s">
        <v>208</v>
      </c>
    </row>
    <row r="38" ht="22.5" customHeight="1">
      <c r="A38" s="18">
        <v>45869.05420462963</v>
      </c>
      <c r="B38" s="19" t="s">
        <v>1151</v>
      </c>
      <c r="C38" s="19" t="s">
        <v>625</v>
      </c>
      <c r="D38" s="19" t="s">
        <v>718</v>
      </c>
      <c r="E38" s="19" t="s">
        <v>1152</v>
      </c>
      <c r="F38" s="19">
        <v>33.0</v>
      </c>
      <c r="G38" s="19">
        <v>33.0</v>
      </c>
      <c r="H38" s="19">
        <v>44.0</v>
      </c>
      <c r="I38" s="19" t="s">
        <v>160</v>
      </c>
      <c r="J38" s="19">
        <v>88.0</v>
      </c>
      <c r="K38" s="22" t="s">
        <v>674</v>
      </c>
      <c r="L38" s="22">
        <v>40.0</v>
      </c>
      <c r="M38" s="22" t="s">
        <v>164</v>
      </c>
      <c r="N38" s="22" t="s">
        <v>208</v>
      </c>
    </row>
    <row r="39" ht="22.5" customHeight="1">
      <c r="A39" s="18">
        <v>45869.077981608796</v>
      </c>
      <c r="B39" s="19" t="s">
        <v>1153</v>
      </c>
      <c r="C39" s="19" t="s">
        <v>1154</v>
      </c>
      <c r="D39" s="19" t="s">
        <v>26</v>
      </c>
      <c r="E39" s="19" t="s">
        <v>1112</v>
      </c>
      <c r="F39" s="19">
        <v>30.0</v>
      </c>
      <c r="G39" s="19">
        <v>45.0</v>
      </c>
      <c r="H39" s="19">
        <v>56.0</v>
      </c>
      <c r="I39" s="19" t="s">
        <v>370</v>
      </c>
      <c r="J39" s="19">
        <v>99.0</v>
      </c>
      <c r="K39" s="22" t="s">
        <v>674</v>
      </c>
      <c r="L39" s="22">
        <v>70.0</v>
      </c>
      <c r="M39" s="22" t="s">
        <v>374</v>
      </c>
      <c r="N39" s="22" t="s">
        <v>1005</v>
      </c>
    </row>
    <row r="40" ht="22.5" customHeight="1">
      <c r="A40" s="18">
        <v>45869.07804833334</v>
      </c>
      <c r="B40" s="19" t="s">
        <v>1153</v>
      </c>
      <c r="C40" s="19" t="s">
        <v>1154</v>
      </c>
      <c r="D40" s="19" t="s">
        <v>26</v>
      </c>
      <c r="E40" s="19" t="s">
        <v>1112</v>
      </c>
      <c r="F40" s="19">
        <v>30.0</v>
      </c>
      <c r="G40" s="19">
        <v>45.0</v>
      </c>
      <c r="H40" s="19">
        <v>56.0</v>
      </c>
      <c r="I40" s="19" t="s">
        <v>370</v>
      </c>
      <c r="J40" s="19">
        <v>99.0</v>
      </c>
      <c r="K40" s="22" t="s">
        <v>674</v>
      </c>
      <c r="L40" s="22">
        <v>70.0</v>
      </c>
      <c r="M40" s="22" t="s">
        <v>374</v>
      </c>
      <c r="N40" s="22" t="s">
        <v>1005</v>
      </c>
    </row>
    <row r="41" ht="22.5" customHeight="1">
      <c r="A41" s="18">
        <v>45869.07806869213</v>
      </c>
      <c r="B41" s="19" t="s">
        <v>1153</v>
      </c>
      <c r="C41" s="19" t="s">
        <v>1154</v>
      </c>
      <c r="D41" s="19" t="s">
        <v>26</v>
      </c>
      <c r="E41" s="19" t="s">
        <v>1112</v>
      </c>
      <c r="F41" s="19">
        <v>30.0</v>
      </c>
      <c r="G41" s="19">
        <v>45.0</v>
      </c>
      <c r="H41" s="19">
        <v>56.0</v>
      </c>
      <c r="I41" s="19" t="s">
        <v>370</v>
      </c>
      <c r="J41" s="19">
        <v>99.0</v>
      </c>
      <c r="K41" s="22" t="s">
        <v>674</v>
      </c>
      <c r="L41" s="22">
        <v>70.0</v>
      </c>
      <c r="M41" s="22" t="s">
        <v>374</v>
      </c>
      <c r="N41" s="22" t="s">
        <v>1005</v>
      </c>
    </row>
    <row r="42" ht="22.5" customHeight="1">
      <c r="A42" s="18">
        <v>45869.07808663194</v>
      </c>
      <c r="B42" s="19" t="s">
        <v>1153</v>
      </c>
      <c r="C42" s="19" t="s">
        <v>1154</v>
      </c>
      <c r="D42" s="19" t="s">
        <v>26</v>
      </c>
      <c r="E42" s="19" t="s">
        <v>1112</v>
      </c>
      <c r="F42" s="19">
        <v>30.0</v>
      </c>
      <c r="G42" s="19">
        <v>45.0</v>
      </c>
      <c r="H42" s="19">
        <v>56.0</v>
      </c>
      <c r="I42" s="19" t="s">
        <v>370</v>
      </c>
      <c r="J42" s="19">
        <v>99.0</v>
      </c>
      <c r="K42" s="22" t="s">
        <v>674</v>
      </c>
      <c r="L42" s="22">
        <v>70.0</v>
      </c>
      <c r="M42" s="22" t="s">
        <v>374</v>
      </c>
      <c r="N42" s="22" t="s">
        <v>1005</v>
      </c>
    </row>
    <row r="43" ht="22.5" customHeight="1">
      <c r="A43" s="18">
        <v>45869.078137916666</v>
      </c>
      <c r="B43" s="19" t="s">
        <v>1153</v>
      </c>
      <c r="C43" s="19" t="s">
        <v>1154</v>
      </c>
      <c r="D43" s="19" t="s">
        <v>26</v>
      </c>
      <c r="E43" s="19" t="s">
        <v>1112</v>
      </c>
      <c r="F43" s="19">
        <v>30.0</v>
      </c>
      <c r="G43" s="19">
        <v>45.0</v>
      </c>
      <c r="H43" s="19">
        <v>56.0</v>
      </c>
      <c r="I43" s="19" t="s">
        <v>370</v>
      </c>
      <c r="J43" s="19">
        <v>99.0</v>
      </c>
      <c r="K43" s="22" t="s">
        <v>674</v>
      </c>
      <c r="L43" s="22">
        <v>70.0</v>
      </c>
      <c r="M43" s="22" t="s">
        <v>374</v>
      </c>
      <c r="N43" s="22" t="s">
        <v>1005</v>
      </c>
    </row>
    <row r="44" ht="22.5" customHeight="1">
      <c r="A44" s="18">
        <v>45869.07815354167</v>
      </c>
      <c r="B44" s="19" t="s">
        <v>1153</v>
      </c>
      <c r="C44" s="19" t="s">
        <v>1154</v>
      </c>
      <c r="D44" s="19" t="s">
        <v>26</v>
      </c>
      <c r="E44" s="19" t="s">
        <v>1112</v>
      </c>
      <c r="F44" s="19">
        <v>30.0</v>
      </c>
      <c r="G44" s="19">
        <v>45.0</v>
      </c>
      <c r="H44" s="19">
        <v>56.0</v>
      </c>
      <c r="I44" s="19" t="s">
        <v>370</v>
      </c>
      <c r="J44" s="19">
        <v>99.0</v>
      </c>
      <c r="K44" s="22" t="s">
        <v>674</v>
      </c>
      <c r="L44" s="22">
        <v>70.0</v>
      </c>
      <c r="M44" s="22" t="s">
        <v>374</v>
      </c>
      <c r="N44" s="22" t="s">
        <v>1005</v>
      </c>
    </row>
    <row r="45" ht="22.5" customHeight="1">
      <c r="A45" s="18">
        <v>45869.078165659725</v>
      </c>
      <c r="B45" s="19" t="s">
        <v>1153</v>
      </c>
      <c r="C45" s="19" t="s">
        <v>1154</v>
      </c>
      <c r="D45" s="19" t="s">
        <v>26</v>
      </c>
      <c r="E45" s="19" t="s">
        <v>1112</v>
      </c>
      <c r="F45" s="19">
        <v>30.0</v>
      </c>
      <c r="G45" s="19">
        <v>45.0</v>
      </c>
      <c r="H45" s="19">
        <v>56.0</v>
      </c>
      <c r="I45" s="19" t="s">
        <v>370</v>
      </c>
      <c r="J45" s="19">
        <v>99.0</v>
      </c>
      <c r="K45" s="22" t="s">
        <v>674</v>
      </c>
      <c r="L45" s="22">
        <v>70.0</v>
      </c>
      <c r="M45" s="22" t="s">
        <v>374</v>
      </c>
      <c r="N45" s="22" t="s">
        <v>1005</v>
      </c>
    </row>
    <row r="46" ht="22.5" customHeight="1">
      <c r="A46" s="18">
        <v>45869.07818974537</v>
      </c>
      <c r="B46" s="19" t="s">
        <v>1153</v>
      </c>
      <c r="C46" s="19" t="s">
        <v>1154</v>
      </c>
      <c r="D46" s="19" t="s">
        <v>26</v>
      </c>
      <c r="E46" s="19" t="s">
        <v>1112</v>
      </c>
      <c r="F46" s="19">
        <v>30.0</v>
      </c>
      <c r="G46" s="19">
        <v>45.0</v>
      </c>
      <c r="H46" s="19">
        <v>56.0</v>
      </c>
      <c r="I46" s="19" t="s">
        <v>370</v>
      </c>
      <c r="J46" s="19">
        <v>99.0</v>
      </c>
      <c r="K46" s="22" t="s">
        <v>674</v>
      </c>
      <c r="L46" s="22">
        <v>70.0</v>
      </c>
      <c r="M46" s="22" t="s">
        <v>374</v>
      </c>
      <c r="N46" s="22" t="s">
        <v>1005</v>
      </c>
    </row>
    <row r="47" ht="22.5" customHeight="1">
      <c r="A47" s="18">
        <v>45869.07820831018</v>
      </c>
      <c r="B47" s="19" t="s">
        <v>1153</v>
      </c>
      <c r="C47" s="19" t="s">
        <v>1154</v>
      </c>
      <c r="D47" s="19" t="s">
        <v>26</v>
      </c>
      <c r="E47" s="19" t="s">
        <v>1112</v>
      </c>
      <c r="F47" s="19">
        <v>30.0</v>
      </c>
      <c r="G47" s="19">
        <v>45.0</v>
      </c>
      <c r="H47" s="19">
        <v>56.0</v>
      </c>
      <c r="I47" s="19" t="s">
        <v>370</v>
      </c>
      <c r="J47" s="19">
        <v>99.0</v>
      </c>
      <c r="K47" s="22" t="s">
        <v>674</v>
      </c>
      <c r="L47" s="22">
        <v>70.0</v>
      </c>
      <c r="M47" s="22" t="s">
        <v>374</v>
      </c>
      <c r="N47" s="22" t="s">
        <v>1005</v>
      </c>
    </row>
    <row r="48" ht="22.5" customHeight="1">
      <c r="A48" s="18">
        <v>45869.07822761574</v>
      </c>
      <c r="B48" s="19" t="s">
        <v>1153</v>
      </c>
      <c r="C48" s="19" t="s">
        <v>1154</v>
      </c>
      <c r="D48" s="19" t="s">
        <v>26</v>
      </c>
      <c r="E48" s="19" t="s">
        <v>1112</v>
      </c>
      <c r="F48" s="19">
        <v>30.0</v>
      </c>
      <c r="G48" s="19">
        <v>45.0</v>
      </c>
      <c r="H48" s="19">
        <v>56.0</v>
      </c>
      <c r="I48" s="19" t="s">
        <v>370</v>
      </c>
      <c r="J48" s="19">
        <v>99.0</v>
      </c>
      <c r="K48" s="22" t="s">
        <v>674</v>
      </c>
      <c r="L48" s="22">
        <v>70.0</v>
      </c>
      <c r="M48" s="22" t="s">
        <v>374</v>
      </c>
      <c r="N48" s="22" t="s">
        <v>1005</v>
      </c>
    </row>
    <row r="49" ht="22.5" customHeight="1">
      <c r="A49" s="18">
        <v>45869.75697628473</v>
      </c>
      <c r="B49" s="19" t="s">
        <v>1162</v>
      </c>
      <c r="C49" s="19" t="s">
        <v>881</v>
      </c>
      <c r="D49" s="19" t="s">
        <v>718</v>
      </c>
      <c r="E49" s="19" t="s">
        <v>1163</v>
      </c>
      <c r="F49" s="19">
        <v>34.0</v>
      </c>
      <c r="G49" s="19">
        <v>55.0</v>
      </c>
      <c r="H49" s="19">
        <v>44.0</v>
      </c>
      <c r="I49" s="19" t="s">
        <v>385</v>
      </c>
      <c r="J49" s="19">
        <v>67.0</v>
      </c>
      <c r="K49" s="22" t="s">
        <v>674</v>
      </c>
      <c r="L49" s="22">
        <v>34.0</v>
      </c>
      <c r="M49" s="22" t="s">
        <v>164</v>
      </c>
      <c r="N49" s="22" t="s">
        <v>208</v>
      </c>
    </row>
    <row r="50" ht="22.5" customHeight="1">
      <c r="A50" s="18">
        <v>45869.779337175925</v>
      </c>
      <c r="B50" s="19" t="s">
        <v>1164</v>
      </c>
      <c r="C50" s="19" t="s">
        <v>1165</v>
      </c>
      <c r="D50" s="19" t="s">
        <v>26</v>
      </c>
      <c r="E50" s="19" t="s">
        <v>1166</v>
      </c>
      <c r="F50" s="19">
        <v>33.0</v>
      </c>
      <c r="G50" s="19">
        <v>34.0</v>
      </c>
      <c r="H50" s="19">
        <v>44.0</v>
      </c>
      <c r="I50" s="19" t="s">
        <v>160</v>
      </c>
      <c r="J50" s="19">
        <v>99.0</v>
      </c>
      <c r="K50" s="22" t="s">
        <v>674</v>
      </c>
      <c r="L50" s="22">
        <v>42.0</v>
      </c>
      <c r="M50" s="22" t="s">
        <v>164</v>
      </c>
      <c r="N50" s="22" t="s">
        <v>208</v>
      </c>
    </row>
    <row r="51" ht="22.5" customHeight="1">
      <c r="A51" s="18">
        <v>45869.7877237037</v>
      </c>
      <c r="B51" s="19" t="s">
        <v>1168</v>
      </c>
      <c r="C51" s="19" t="s">
        <v>1169</v>
      </c>
      <c r="D51" s="19" t="s">
        <v>1170</v>
      </c>
      <c r="E51" s="19" t="s">
        <v>1171</v>
      </c>
      <c r="F51" s="19">
        <v>23.0</v>
      </c>
      <c r="G51" s="19">
        <v>45.0</v>
      </c>
      <c r="H51" s="19">
        <v>67.0</v>
      </c>
      <c r="I51" s="19" t="s">
        <v>370</v>
      </c>
      <c r="J51" s="19">
        <v>89.0</v>
      </c>
      <c r="K51" s="22" t="s">
        <v>674</v>
      </c>
      <c r="L51" s="22">
        <v>64.0</v>
      </c>
      <c r="M51" s="22" t="s">
        <v>313</v>
      </c>
      <c r="N51" s="22" t="s">
        <v>985</v>
      </c>
    </row>
    <row r="52" ht="22.5" customHeight="1">
      <c r="A52" s="18">
        <v>45869.79202122685</v>
      </c>
      <c r="B52" s="19" t="s">
        <v>1172</v>
      </c>
      <c r="C52" s="19" t="s">
        <v>1173</v>
      </c>
      <c r="D52" s="19" t="s">
        <v>1170</v>
      </c>
      <c r="E52" s="19" t="s">
        <v>1174</v>
      </c>
      <c r="F52" s="19">
        <v>24.0</v>
      </c>
      <c r="G52" s="19">
        <v>55.0</v>
      </c>
      <c r="H52" s="19">
        <v>66.0</v>
      </c>
      <c r="I52" s="19" t="s">
        <v>385</v>
      </c>
      <c r="J52" s="19">
        <v>88.0</v>
      </c>
      <c r="K52" s="22" t="s">
        <v>674</v>
      </c>
      <c r="L52" s="22">
        <v>38.0</v>
      </c>
      <c r="M52" s="22" t="s">
        <v>164</v>
      </c>
      <c r="N52" s="22" t="s">
        <v>208</v>
      </c>
    </row>
    <row r="53" ht="22.5" customHeight="1">
      <c r="A53" s="18">
        <v>45869.87858724537</v>
      </c>
      <c r="B53" s="19" t="s">
        <v>226</v>
      </c>
      <c r="C53" s="19" t="s">
        <v>561</v>
      </c>
      <c r="D53" s="19" t="s">
        <v>1175</v>
      </c>
      <c r="E53" s="19" t="s">
        <v>973</v>
      </c>
      <c r="F53" s="19">
        <v>23.0</v>
      </c>
      <c r="G53" s="19">
        <v>84.0</v>
      </c>
      <c r="H53" s="19">
        <v>73.0</v>
      </c>
      <c r="I53" s="19" t="s">
        <v>101</v>
      </c>
      <c r="J53" s="19">
        <v>94.0</v>
      </c>
      <c r="K53" s="22" t="s">
        <v>674</v>
      </c>
      <c r="L53" s="22">
        <v>68.0</v>
      </c>
      <c r="M53" s="22" t="s">
        <v>374</v>
      </c>
      <c r="N53" s="22" t="s">
        <v>1005</v>
      </c>
    </row>
    <row r="54" ht="22.5" customHeight="1">
      <c r="A54" s="18">
        <v>45869.880806608795</v>
      </c>
      <c r="B54" s="19" t="s">
        <v>226</v>
      </c>
      <c r="C54" s="19" t="s">
        <v>561</v>
      </c>
      <c r="D54" s="19" t="s">
        <v>562</v>
      </c>
      <c r="E54" s="19" t="s">
        <v>939</v>
      </c>
      <c r="F54" s="19">
        <v>23.0</v>
      </c>
      <c r="G54" s="19">
        <v>56.0</v>
      </c>
      <c r="H54" s="19">
        <v>67.0</v>
      </c>
      <c r="I54" s="19" t="s">
        <v>101</v>
      </c>
      <c r="J54" s="19">
        <v>99.0</v>
      </c>
      <c r="K54" s="22" t="s">
        <v>674</v>
      </c>
      <c r="L54" s="22">
        <v>57.99999999999999</v>
      </c>
      <c r="M54" s="22" t="s">
        <v>313</v>
      </c>
      <c r="N54" s="22" t="s">
        <v>985</v>
      </c>
    </row>
    <row r="55" ht="22.5" customHeight="1">
      <c r="A55" s="18">
        <v>45876.748790428246</v>
      </c>
      <c r="B55" s="19" t="s">
        <v>1039</v>
      </c>
      <c r="C55" s="19" t="s">
        <v>1040</v>
      </c>
      <c r="D55" s="19" t="s">
        <v>26</v>
      </c>
      <c r="E55" s="19" t="s">
        <v>1042</v>
      </c>
      <c r="F55" s="19">
        <v>34.0</v>
      </c>
      <c r="G55" s="19">
        <v>33.0</v>
      </c>
      <c r="H55" s="19">
        <v>44.0</v>
      </c>
      <c r="I55" s="19" t="s">
        <v>160</v>
      </c>
      <c r="J55" s="19">
        <v>89.0</v>
      </c>
      <c r="K55" s="22" t="s">
        <v>674</v>
      </c>
      <c r="L55" s="22">
        <v>40.0</v>
      </c>
      <c r="M55" s="22" t="s">
        <v>164</v>
      </c>
      <c r="N55" s="22" t="s">
        <v>208</v>
      </c>
    </row>
    <row r="56" ht="22.5" customHeight="1">
      <c r="A56" s="18">
        <v>45876.76173172454</v>
      </c>
      <c r="B56" s="19" t="s">
        <v>1178</v>
      </c>
      <c r="C56" s="19" t="s">
        <v>1179</v>
      </c>
      <c r="D56" s="19" t="s">
        <v>26</v>
      </c>
      <c r="E56" s="19" t="s">
        <v>1180</v>
      </c>
      <c r="F56" s="19">
        <v>34.0</v>
      </c>
      <c r="G56" s="19">
        <v>46.0</v>
      </c>
      <c r="H56" s="19">
        <v>67.0</v>
      </c>
      <c r="I56" s="19" t="s">
        <v>438</v>
      </c>
      <c r="J56" s="19">
        <v>99.0</v>
      </c>
      <c r="K56" s="22" t="s">
        <v>674</v>
      </c>
      <c r="L56" s="22">
        <v>64.0</v>
      </c>
      <c r="M56" s="22" t="s">
        <v>313</v>
      </c>
      <c r="N56" s="22" t="s">
        <v>985</v>
      </c>
    </row>
    <row r="57" ht="22.5" customHeight="1">
      <c r="A57" s="18">
        <v>45876.76510981482</v>
      </c>
      <c r="B57" s="19" t="s">
        <v>1182</v>
      </c>
      <c r="C57" s="19" t="s">
        <v>1183</v>
      </c>
      <c r="D57" s="19" t="s">
        <v>26</v>
      </c>
      <c r="E57" s="19" t="s">
        <v>1184</v>
      </c>
      <c r="F57" s="19">
        <v>34.0</v>
      </c>
      <c r="G57" s="19">
        <v>46.0</v>
      </c>
      <c r="H57" s="19">
        <v>45.0</v>
      </c>
      <c r="I57" s="19" t="s">
        <v>101</v>
      </c>
      <c r="J57" s="19">
        <v>89.0</v>
      </c>
      <c r="K57" s="22" t="s">
        <v>674</v>
      </c>
      <c r="L57" s="22">
        <v>50.0</v>
      </c>
      <c r="M57" s="22" t="s">
        <v>313</v>
      </c>
      <c r="N57" s="22" t="s">
        <v>985</v>
      </c>
    </row>
    <row r="58" ht="22.5" customHeight="1">
      <c r="A58" s="18">
        <v>45876.803935902775</v>
      </c>
      <c r="B58" s="19" t="s">
        <v>1185</v>
      </c>
      <c r="C58" s="19" t="s">
        <v>1186</v>
      </c>
      <c r="D58" s="19" t="s">
        <v>26</v>
      </c>
      <c r="E58" s="19" t="s">
        <v>1185</v>
      </c>
      <c r="F58" s="19">
        <v>22.0</v>
      </c>
      <c r="G58" s="19">
        <v>34.0</v>
      </c>
      <c r="H58" s="19">
        <v>35.0</v>
      </c>
      <c r="I58" s="19" t="s">
        <v>385</v>
      </c>
      <c r="J58" s="19">
        <v>99.0</v>
      </c>
      <c r="K58" s="22" t="s">
        <v>674</v>
      </c>
      <c r="L58" s="22">
        <v>20.0</v>
      </c>
      <c r="M58" s="22" t="s">
        <v>252</v>
      </c>
      <c r="N58" s="22" t="s">
        <v>971</v>
      </c>
    </row>
    <row r="59" ht="22.5" customHeight="1">
      <c r="A59" s="18">
        <v>45876.848118587965</v>
      </c>
      <c r="B59" s="19" t="s">
        <v>1187</v>
      </c>
      <c r="C59" s="19" t="s">
        <v>1188</v>
      </c>
      <c r="D59" s="19" t="s">
        <v>26</v>
      </c>
      <c r="E59" s="19" t="s">
        <v>1189</v>
      </c>
      <c r="F59" s="19">
        <v>34.0</v>
      </c>
      <c r="G59" s="19">
        <v>23.0</v>
      </c>
      <c r="H59" s="19">
        <v>34.0</v>
      </c>
      <c r="I59" s="19" t="s">
        <v>385</v>
      </c>
      <c r="J59" s="19">
        <v>88.0</v>
      </c>
      <c r="K59" s="22" t="s">
        <v>674</v>
      </c>
      <c r="L59" s="22">
        <v>18.0</v>
      </c>
      <c r="M59" s="22" t="s">
        <v>252</v>
      </c>
      <c r="N59" s="22" t="s">
        <v>971</v>
      </c>
    </row>
    <row r="60" ht="22.5" customHeight="1">
      <c r="A60" s="18">
        <v>45876.851402175926</v>
      </c>
      <c r="B60" s="19" t="s">
        <v>1190</v>
      </c>
      <c r="C60" s="19" t="s">
        <v>1191</v>
      </c>
      <c r="D60" s="19" t="s">
        <v>26</v>
      </c>
      <c r="E60" s="19" t="s">
        <v>1192</v>
      </c>
      <c r="F60" s="19">
        <v>34.0</v>
      </c>
      <c r="G60" s="19">
        <v>25.0</v>
      </c>
      <c r="H60" s="19">
        <v>46.0</v>
      </c>
      <c r="I60" s="19" t="s">
        <v>101</v>
      </c>
      <c r="J60" s="19">
        <v>67.0</v>
      </c>
      <c r="K60" s="22" t="s">
        <v>674</v>
      </c>
      <c r="L60" s="22">
        <v>44.0</v>
      </c>
      <c r="M60" s="22" t="s">
        <v>164</v>
      </c>
      <c r="N60" s="22" t="s">
        <v>208</v>
      </c>
    </row>
    <row r="61" ht="22.5" customHeight="1">
      <c r="A61" s="18">
        <v>45876.87005208334</v>
      </c>
      <c r="B61" s="19" t="s">
        <v>355</v>
      </c>
      <c r="C61" s="19" t="s">
        <v>1195</v>
      </c>
      <c r="D61" s="19" t="s">
        <v>26</v>
      </c>
      <c r="E61" s="19" t="s">
        <v>1197</v>
      </c>
      <c r="F61" s="19">
        <v>23.0</v>
      </c>
      <c r="G61" s="19">
        <v>34.0</v>
      </c>
      <c r="H61" s="19">
        <v>56.0</v>
      </c>
      <c r="I61" s="19" t="s">
        <v>101</v>
      </c>
      <c r="J61" s="19">
        <v>67.0</v>
      </c>
      <c r="K61" s="22" t="s">
        <v>674</v>
      </c>
      <c r="L61" s="22">
        <v>46.0</v>
      </c>
      <c r="M61" s="22" t="s">
        <v>164</v>
      </c>
      <c r="N61" s="22" t="s">
        <v>208</v>
      </c>
    </row>
    <row r="62" ht="22.5" customHeight="1">
      <c r="A62" s="18">
        <v>45876.87367451389</v>
      </c>
      <c r="B62" s="19" t="s">
        <v>1204</v>
      </c>
      <c r="C62" s="19" t="s">
        <v>1206</v>
      </c>
      <c r="D62" s="19" t="s">
        <v>26</v>
      </c>
      <c r="E62" s="19" t="s">
        <v>1174</v>
      </c>
      <c r="F62" s="19">
        <v>23.0</v>
      </c>
      <c r="G62" s="19">
        <v>35.0</v>
      </c>
      <c r="H62" s="19">
        <v>35.0</v>
      </c>
      <c r="I62" s="19" t="s">
        <v>101</v>
      </c>
      <c r="J62" s="19">
        <v>56.0</v>
      </c>
      <c r="K62" s="22" t="s">
        <v>674</v>
      </c>
      <c r="L62" s="22">
        <v>32.0</v>
      </c>
      <c r="M62" s="22" t="s">
        <v>164</v>
      </c>
      <c r="N62" s="22" t="s">
        <v>208</v>
      </c>
    </row>
    <row r="63" ht="22.5" customHeight="1">
      <c r="A63" s="18">
        <v>45876.878984537034</v>
      </c>
      <c r="B63" s="19" t="s">
        <v>226</v>
      </c>
      <c r="C63" s="19" t="s">
        <v>561</v>
      </c>
      <c r="D63" s="19" t="s">
        <v>562</v>
      </c>
      <c r="E63" s="19" t="s">
        <v>939</v>
      </c>
      <c r="F63" s="19">
        <v>24.0</v>
      </c>
      <c r="G63" s="19">
        <v>35.0</v>
      </c>
      <c r="H63" s="19">
        <v>44.0</v>
      </c>
      <c r="I63" s="19" t="s">
        <v>160</v>
      </c>
      <c r="J63" s="19">
        <v>89.0</v>
      </c>
      <c r="K63" s="22" t="s">
        <v>674</v>
      </c>
      <c r="L63" s="22">
        <v>36.0</v>
      </c>
      <c r="M63" s="22" t="s">
        <v>164</v>
      </c>
      <c r="N63" s="22" t="s">
        <v>208</v>
      </c>
    </row>
    <row r="64" ht="22.5" customHeight="1">
      <c r="A64" s="18">
        <v>45876.93717314815</v>
      </c>
      <c r="B64" s="19" t="s">
        <v>1219</v>
      </c>
      <c r="C64" s="19" t="s">
        <v>1220</v>
      </c>
      <c r="D64" s="19" t="s">
        <v>26</v>
      </c>
      <c r="E64" s="19">
        <v>23.0</v>
      </c>
      <c r="F64" s="19">
        <v>35.0</v>
      </c>
      <c r="G64" s="19">
        <v>56.0</v>
      </c>
      <c r="H64" s="19">
        <v>35.0</v>
      </c>
      <c r="I64" s="19" t="s">
        <v>160</v>
      </c>
      <c r="J64" s="19">
        <v>78.0</v>
      </c>
      <c r="K64" s="22" t="s">
        <v>674</v>
      </c>
      <c r="L64" s="22">
        <v>44.0</v>
      </c>
      <c r="M64" s="22" t="s">
        <v>164</v>
      </c>
      <c r="N64" s="22" t="s">
        <v>208</v>
      </c>
    </row>
    <row r="65" ht="22.5" customHeight="1">
      <c r="A65" s="18">
        <v>45876.943614351854</v>
      </c>
      <c r="B65" s="19" t="s">
        <v>1227</v>
      </c>
      <c r="C65" s="19" t="s">
        <v>1228</v>
      </c>
      <c r="D65" s="19" t="s">
        <v>26</v>
      </c>
      <c r="E65" s="19" t="s">
        <v>939</v>
      </c>
      <c r="F65" s="19">
        <v>22.0</v>
      </c>
      <c r="G65" s="19">
        <v>34.0</v>
      </c>
      <c r="H65" s="19">
        <v>45.0</v>
      </c>
      <c r="I65" s="19" t="s">
        <v>101</v>
      </c>
      <c r="J65" s="19">
        <v>89.0</v>
      </c>
      <c r="K65" s="22" t="s">
        <v>674</v>
      </c>
      <c r="L65" s="22">
        <v>42.0</v>
      </c>
      <c r="M65" s="22" t="s">
        <v>164</v>
      </c>
      <c r="N65" s="22" t="s">
        <v>208</v>
      </c>
    </row>
    <row r="66" ht="22.5" customHeight="1">
      <c r="A66" s="18">
        <v>45876.94692638889</v>
      </c>
      <c r="B66" s="19" t="s">
        <v>1227</v>
      </c>
      <c r="C66" s="19" t="s">
        <v>1235</v>
      </c>
      <c r="D66" s="19" t="s">
        <v>718</v>
      </c>
      <c r="E66" s="19" t="s">
        <v>1237</v>
      </c>
      <c r="F66" s="19">
        <v>33.0</v>
      </c>
      <c r="G66" s="19">
        <v>34.0</v>
      </c>
      <c r="H66" s="19">
        <v>45.0</v>
      </c>
      <c r="I66" s="19" t="s">
        <v>370</v>
      </c>
      <c r="J66" s="19">
        <v>99.0</v>
      </c>
      <c r="K66" s="22" t="s">
        <v>674</v>
      </c>
      <c r="L66" s="22">
        <v>60.0</v>
      </c>
      <c r="M66" s="22" t="s">
        <v>313</v>
      </c>
      <c r="N66" s="22" t="s">
        <v>985</v>
      </c>
    </row>
    <row r="67" ht="22.5" customHeight="1">
      <c r="A67" s="18">
        <v>45877.54910739583</v>
      </c>
      <c r="B67" s="19" t="s">
        <v>1244</v>
      </c>
      <c r="C67" s="19" t="s">
        <v>1245</v>
      </c>
      <c r="D67" s="19" t="s">
        <v>26</v>
      </c>
      <c r="E67" s="19" t="s">
        <v>1046</v>
      </c>
      <c r="F67" s="19">
        <v>23.0</v>
      </c>
      <c r="G67" s="19">
        <v>34.0</v>
      </c>
      <c r="H67" s="19">
        <v>45.0</v>
      </c>
      <c r="I67" s="19" t="s">
        <v>101</v>
      </c>
      <c r="J67" s="19">
        <v>88.0</v>
      </c>
      <c r="K67" s="22" t="s">
        <v>674</v>
      </c>
      <c r="L67" s="22">
        <v>42.0</v>
      </c>
      <c r="M67" s="22" t="s">
        <v>164</v>
      </c>
      <c r="N67" s="22" t="s">
        <v>208</v>
      </c>
    </row>
    <row r="68" ht="22.5" customHeight="1">
      <c r="A68" s="18">
        <v>45877.55335054398</v>
      </c>
      <c r="B68" s="19" t="s">
        <v>1254</v>
      </c>
      <c r="C68" s="19" t="s">
        <v>1256</v>
      </c>
      <c r="D68" s="19" t="s">
        <v>26</v>
      </c>
      <c r="E68" s="19" t="s">
        <v>1259</v>
      </c>
      <c r="F68" s="19">
        <v>30.0</v>
      </c>
      <c r="G68" s="19">
        <v>34.0</v>
      </c>
      <c r="H68" s="19">
        <v>45.0</v>
      </c>
      <c r="I68" s="19" t="s">
        <v>370</v>
      </c>
      <c r="J68" s="19">
        <v>90.0</v>
      </c>
      <c r="K68" s="22" t="s">
        <v>674</v>
      </c>
      <c r="L68" s="22">
        <v>60.0</v>
      </c>
      <c r="M68" s="22" t="s">
        <v>313</v>
      </c>
      <c r="N68" s="22" t="s">
        <v>985</v>
      </c>
    </row>
    <row r="69" ht="22.5" customHeight="1">
      <c r="A69" s="18">
        <v>45877.5642387963</v>
      </c>
      <c r="B69" s="19" t="s">
        <v>1266</v>
      </c>
      <c r="C69" s="19" t="s">
        <v>1180</v>
      </c>
      <c r="D69" s="19" t="s">
        <v>26</v>
      </c>
      <c r="E69" s="19" t="s">
        <v>1269</v>
      </c>
      <c r="F69" s="19">
        <v>24.0</v>
      </c>
      <c r="G69" s="19">
        <v>35.0</v>
      </c>
      <c r="H69" s="19">
        <v>46.0</v>
      </c>
      <c r="I69" s="19" t="s">
        <v>101</v>
      </c>
      <c r="J69" s="19">
        <v>89.0</v>
      </c>
      <c r="K69" s="22" t="s">
        <v>674</v>
      </c>
      <c r="L69" s="22">
        <v>42.0</v>
      </c>
      <c r="M69" s="22" t="s">
        <v>164</v>
      </c>
      <c r="N69" s="22" t="s">
        <v>208</v>
      </c>
    </row>
    <row r="70" ht="22.5" customHeight="1">
      <c r="A70" s="18">
        <v>45877.57619694444</v>
      </c>
      <c r="B70" s="19" t="s">
        <v>1277</v>
      </c>
      <c r="C70" s="19" t="s">
        <v>1278</v>
      </c>
      <c r="D70" s="19" t="s">
        <v>26</v>
      </c>
      <c r="E70" s="19" t="s">
        <v>1281</v>
      </c>
      <c r="F70" s="19">
        <v>32.0</v>
      </c>
      <c r="G70" s="19">
        <v>33.0</v>
      </c>
      <c r="H70" s="19">
        <v>45.0</v>
      </c>
      <c r="I70" s="19" t="s">
        <v>370</v>
      </c>
      <c r="J70" s="19">
        <v>89.0</v>
      </c>
      <c r="K70" s="22" t="s">
        <v>674</v>
      </c>
      <c r="L70" s="22">
        <v>57.99999999999999</v>
      </c>
      <c r="M70" s="22" t="s">
        <v>313</v>
      </c>
      <c r="N70" s="22" t="s">
        <v>985</v>
      </c>
    </row>
    <row r="71" ht="22.5" customHeight="1">
      <c r="A71" s="18">
        <v>45877.58019378472</v>
      </c>
      <c r="B71" s="19" t="s">
        <v>1288</v>
      </c>
      <c r="C71" s="19" t="s">
        <v>1290</v>
      </c>
      <c r="D71" s="19" t="s">
        <v>26</v>
      </c>
      <c r="E71" s="19" t="s">
        <v>1293</v>
      </c>
      <c r="F71" s="19">
        <v>23.0</v>
      </c>
      <c r="G71" s="19">
        <v>45.0</v>
      </c>
      <c r="H71" s="19">
        <v>67.0</v>
      </c>
      <c r="I71" s="19" t="s">
        <v>370</v>
      </c>
      <c r="J71" s="19">
        <v>88.0</v>
      </c>
      <c r="K71" s="22" t="s">
        <v>674</v>
      </c>
      <c r="L71" s="22">
        <v>64.0</v>
      </c>
      <c r="M71" s="22" t="s">
        <v>313</v>
      </c>
      <c r="N71" s="22" t="s">
        <v>985</v>
      </c>
    </row>
    <row r="72" ht="22.5" customHeight="1">
      <c r="A72" s="18">
        <v>45877.59113060185</v>
      </c>
      <c r="B72" s="19" t="s">
        <v>226</v>
      </c>
      <c r="C72" s="19" t="s">
        <v>561</v>
      </c>
      <c r="D72" s="19" t="s">
        <v>562</v>
      </c>
      <c r="E72" s="19" t="s">
        <v>939</v>
      </c>
      <c r="F72" s="19">
        <v>21.0</v>
      </c>
      <c r="G72" s="19">
        <v>77.0</v>
      </c>
      <c r="H72" s="19">
        <v>62.0</v>
      </c>
      <c r="I72" s="19" t="s">
        <v>101</v>
      </c>
      <c r="J72" s="19">
        <v>89.0</v>
      </c>
      <c r="K72" s="22" t="s">
        <v>674</v>
      </c>
      <c r="L72" s="22">
        <v>60.0</v>
      </c>
      <c r="M72" s="22" t="s">
        <v>313</v>
      </c>
      <c r="N72" s="22" t="s">
        <v>985</v>
      </c>
    </row>
    <row r="73" ht="22.5" customHeight="1">
      <c r="A73" s="18">
        <v>45877.5945549537</v>
      </c>
      <c r="B73" s="19" t="s">
        <v>226</v>
      </c>
      <c r="C73" s="19" t="s">
        <v>561</v>
      </c>
      <c r="D73" s="19" t="s">
        <v>562</v>
      </c>
      <c r="E73" s="19">
        <v>34.0</v>
      </c>
      <c r="F73" s="19">
        <v>34.0</v>
      </c>
      <c r="G73" s="19">
        <v>56.0</v>
      </c>
      <c r="H73" s="19">
        <v>66.0</v>
      </c>
      <c r="I73" s="19" t="s">
        <v>370</v>
      </c>
      <c r="J73" s="19">
        <v>108.0</v>
      </c>
      <c r="K73" s="22" t="s">
        <v>674</v>
      </c>
      <c r="L73" s="22">
        <v>76.0</v>
      </c>
      <c r="M73" s="22" t="s">
        <v>374</v>
      </c>
      <c r="N73" s="22" t="s">
        <v>1005</v>
      </c>
    </row>
    <row r="74" ht="22.5" customHeight="1">
      <c r="A74" s="18">
        <v>45881.810813171294</v>
      </c>
      <c r="B74" s="19" t="s">
        <v>1321</v>
      </c>
      <c r="C74" s="19" t="s">
        <v>1323</v>
      </c>
      <c r="D74" s="19" t="s">
        <v>26</v>
      </c>
      <c r="E74" s="19">
        <v>23.0</v>
      </c>
      <c r="F74" s="19">
        <v>23.0</v>
      </c>
      <c r="G74" s="19">
        <v>45.0</v>
      </c>
      <c r="H74" s="19">
        <v>56.0</v>
      </c>
      <c r="I74" s="19" t="s">
        <v>101</v>
      </c>
      <c r="J74" s="19">
        <v>89.0</v>
      </c>
      <c r="K74" s="22" t="s">
        <v>674</v>
      </c>
      <c r="L74" s="22">
        <v>52.0</v>
      </c>
      <c r="M74" s="22" t="s">
        <v>313</v>
      </c>
      <c r="N74" s="22" t="s">
        <v>985</v>
      </c>
    </row>
    <row r="75" ht="22.5" customHeight="1">
      <c r="A75" s="18">
        <v>45881.83451372685</v>
      </c>
      <c r="B75" s="19" t="s">
        <v>1333</v>
      </c>
      <c r="C75" s="19" t="s">
        <v>1334</v>
      </c>
      <c r="D75" s="19" t="s">
        <v>26</v>
      </c>
      <c r="E75" s="19" t="s">
        <v>1174</v>
      </c>
      <c r="F75" s="19">
        <v>24.0</v>
      </c>
      <c r="G75" s="19">
        <v>34.0</v>
      </c>
      <c r="H75" s="19">
        <v>45.0</v>
      </c>
      <c r="I75" s="19" t="s">
        <v>101</v>
      </c>
      <c r="J75" s="19">
        <v>78.0</v>
      </c>
      <c r="K75" s="22" t="s">
        <v>674</v>
      </c>
      <c r="L75" s="22">
        <v>42.0</v>
      </c>
      <c r="M75" s="22" t="s">
        <v>164</v>
      </c>
      <c r="N75" s="22" t="s">
        <v>208</v>
      </c>
    </row>
    <row r="76" ht="22.5" customHeight="1">
      <c r="A76" s="18">
        <v>45881.84474133102</v>
      </c>
      <c r="B76" s="19" t="s">
        <v>1342</v>
      </c>
      <c r="C76" s="19" t="s">
        <v>535</v>
      </c>
      <c r="D76" s="19" t="s">
        <v>26</v>
      </c>
      <c r="E76" s="19" t="s">
        <v>1345</v>
      </c>
      <c r="F76" s="19">
        <v>23.0</v>
      </c>
      <c r="G76" s="19">
        <v>34.0</v>
      </c>
      <c r="H76" s="19">
        <v>45.0</v>
      </c>
      <c r="I76" s="19" t="s">
        <v>438</v>
      </c>
      <c r="J76" s="19">
        <v>99.0</v>
      </c>
      <c r="K76" s="22" t="s">
        <v>674</v>
      </c>
      <c r="L76" s="22">
        <v>50.0</v>
      </c>
      <c r="M76" s="22" t="s">
        <v>313</v>
      </c>
      <c r="N76" s="22" t="s">
        <v>985</v>
      </c>
    </row>
    <row r="77" ht="22.5" customHeight="1">
      <c r="A77" s="18">
        <v>45881.857124988426</v>
      </c>
      <c r="B77" s="19" t="s">
        <v>535</v>
      </c>
      <c r="C77" s="19" t="s">
        <v>1323</v>
      </c>
      <c r="D77" s="19" t="s">
        <v>26</v>
      </c>
      <c r="E77" s="19" t="s">
        <v>1356</v>
      </c>
      <c r="F77" s="19">
        <v>34.0</v>
      </c>
      <c r="G77" s="19">
        <v>45.0</v>
      </c>
      <c r="H77" s="19">
        <v>56.0</v>
      </c>
      <c r="I77" s="19" t="s">
        <v>101</v>
      </c>
      <c r="J77" s="19">
        <v>89.0</v>
      </c>
      <c r="K77" s="22" t="s">
        <v>674</v>
      </c>
      <c r="L77" s="22">
        <v>56.00000000000001</v>
      </c>
      <c r="M77" s="22" t="s">
        <v>313</v>
      </c>
      <c r="N77" s="22" t="s">
        <v>985</v>
      </c>
    </row>
    <row r="78" ht="22.5" customHeight="1">
      <c r="A78" s="18">
        <v>45881.88112469907</v>
      </c>
      <c r="B78" s="19" t="s">
        <v>226</v>
      </c>
      <c r="C78" s="19" t="s">
        <v>561</v>
      </c>
      <c r="D78" s="19" t="s">
        <v>562</v>
      </c>
      <c r="E78" s="19" t="s">
        <v>939</v>
      </c>
      <c r="F78" s="19">
        <v>23.0</v>
      </c>
      <c r="G78" s="19">
        <v>34.0</v>
      </c>
      <c r="H78" s="19">
        <v>45.0</v>
      </c>
      <c r="I78" s="19" t="s">
        <v>370</v>
      </c>
      <c r="J78" s="19">
        <v>89.0</v>
      </c>
      <c r="K78" s="22" t="s">
        <v>674</v>
      </c>
      <c r="L78" s="22">
        <v>54.0</v>
      </c>
      <c r="M78" s="22" t="s">
        <v>313</v>
      </c>
      <c r="N78" s="22" t="s">
        <v>985</v>
      </c>
    </row>
    <row r="79" ht="22.5" customHeight="1">
      <c r="A79" s="18">
        <v>45883.73825238426</v>
      </c>
      <c r="B79" s="19" t="s">
        <v>1374</v>
      </c>
      <c r="C79" s="19" t="s">
        <v>1334</v>
      </c>
      <c r="D79" s="19" t="s">
        <v>26</v>
      </c>
      <c r="E79" s="19" t="s">
        <v>1377</v>
      </c>
      <c r="F79" s="19">
        <v>24.0</v>
      </c>
      <c r="G79" s="19">
        <v>45.0</v>
      </c>
      <c r="H79" s="19">
        <v>77.0</v>
      </c>
      <c r="I79" s="19" t="s">
        <v>101</v>
      </c>
      <c r="J79" s="19">
        <v>99.0</v>
      </c>
      <c r="K79" s="22" t="s">
        <v>674</v>
      </c>
      <c r="L79" s="22">
        <v>60.0</v>
      </c>
      <c r="M79" s="22" t="s">
        <v>313</v>
      </c>
      <c r="N79" s="22" t="s">
        <v>985</v>
      </c>
    </row>
    <row r="80" ht="22.5" customHeight="1">
      <c r="A80" s="18">
        <v>45883.74776917824</v>
      </c>
      <c r="B80" s="19" t="s">
        <v>1111</v>
      </c>
      <c r="C80" s="19" t="s">
        <v>1391</v>
      </c>
      <c r="D80" s="19" t="s">
        <v>26</v>
      </c>
      <c r="E80" s="19" t="s">
        <v>1394</v>
      </c>
      <c r="F80" s="19">
        <v>34.0</v>
      </c>
      <c r="G80" s="19">
        <v>44.0</v>
      </c>
      <c r="H80" s="19">
        <v>55.0</v>
      </c>
      <c r="I80" s="19" t="s">
        <v>438</v>
      </c>
      <c r="J80" s="19">
        <v>88.0</v>
      </c>
      <c r="K80" s="22" t="s">
        <v>674</v>
      </c>
      <c r="L80" s="22">
        <v>62.0</v>
      </c>
      <c r="M80" s="22" t="s">
        <v>313</v>
      </c>
      <c r="N80" s="22" t="s">
        <v>985</v>
      </c>
    </row>
    <row r="81" ht="22.5" customHeight="1">
      <c r="A81" s="18">
        <v>45883.75481482639</v>
      </c>
      <c r="B81" s="19" t="s">
        <v>1408</v>
      </c>
      <c r="C81" s="19" t="s">
        <v>1410</v>
      </c>
      <c r="D81" s="19" t="s">
        <v>26</v>
      </c>
      <c r="E81" s="19" t="s">
        <v>374</v>
      </c>
      <c r="F81" s="19">
        <v>33.0</v>
      </c>
      <c r="G81" s="19">
        <v>34.0</v>
      </c>
      <c r="H81" s="19">
        <v>55.0</v>
      </c>
      <c r="I81" s="19" t="s">
        <v>385</v>
      </c>
      <c r="J81" s="19">
        <v>89.0</v>
      </c>
      <c r="K81" s="22" t="s">
        <v>674</v>
      </c>
      <c r="L81" s="22">
        <v>34.0</v>
      </c>
      <c r="M81" s="22" t="s">
        <v>164</v>
      </c>
      <c r="N81" s="22" t="s">
        <v>208</v>
      </c>
    </row>
    <row r="82" ht="22.5" customHeight="1">
      <c r="A82" s="18">
        <v>45883.75853517361</v>
      </c>
      <c r="B82" s="19" t="s">
        <v>1110</v>
      </c>
      <c r="C82" s="19" t="s">
        <v>1111</v>
      </c>
      <c r="D82" s="19" t="s">
        <v>26</v>
      </c>
      <c r="E82" s="19" t="s">
        <v>1112</v>
      </c>
      <c r="F82" s="19">
        <v>23.0</v>
      </c>
      <c r="G82" s="19">
        <v>34.0</v>
      </c>
      <c r="H82" s="19">
        <v>55.0</v>
      </c>
      <c r="I82" s="19" t="s">
        <v>101</v>
      </c>
      <c r="J82" s="19">
        <v>99.0</v>
      </c>
      <c r="K82" s="22" t="s">
        <v>674</v>
      </c>
      <c r="L82" s="22">
        <v>50.0</v>
      </c>
      <c r="M82" s="22" t="s">
        <v>313</v>
      </c>
      <c r="N82" s="22" t="s">
        <v>985</v>
      </c>
    </row>
    <row r="83" ht="22.5" customHeight="1">
      <c r="A83" s="18">
        <v>45883.775097986116</v>
      </c>
      <c r="B83" s="19" t="s">
        <v>1421</v>
      </c>
      <c r="C83" s="19" t="s">
        <v>1422</v>
      </c>
      <c r="D83" s="19" t="s">
        <v>26</v>
      </c>
      <c r="E83" s="19" t="s">
        <v>1423</v>
      </c>
      <c r="F83" s="19">
        <v>25.0</v>
      </c>
      <c r="G83" s="19">
        <v>45.0</v>
      </c>
      <c r="H83" s="19">
        <v>56.0</v>
      </c>
      <c r="I83" s="19" t="s">
        <v>101</v>
      </c>
      <c r="J83" s="19">
        <v>88.0</v>
      </c>
      <c r="K83" s="22" t="s">
        <v>674</v>
      </c>
      <c r="L83" s="22">
        <v>54.0</v>
      </c>
      <c r="M83" s="22" t="s">
        <v>313</v>
      </c>
      <c r="N83" s="22" t="s">
        <v>985</v>
      </c>
    </row>
    <row r="84" ht="22.5" customHeight="1">
      <c r="A84" s="18">
        <v>45883.78046491898</v>
      </c>
      <c r="B84" s="19" t="s">
        <v>573</v>
      </c>
      <c r="C84" s="19" t="s">
        <v>574</v>
      </c>
      <c r="D84" s="19" t="s">
        <v>26</v>
      </c>
      <c r="E84" s="19">
        <v>34.0</v>
      </c>
      <c r="F84" s="19">
        <v>45.0</v>
      </c>
      <c r="G84" s="19">
        <v>55.0</v>
      </c>
      <c r="H84" s="19">
        <v>56.0</v>
      </c>
      <c r="I84" s="19" t="s">
        <v>101</v>
      </c>
      <c r="J84" s="19">
        <v>100.0</v>
      </c>
      <c r="K84" s="22" t="s">
        <v>674</v>
      </c>
      <c r="L84" s="22">
        <v>64.0</v>
      </c>
      <c r="M84" s="22" t="s">
        <v>313</v>
      </c>
      <c r="N84" s="22" t="s">
        <v>985</v>
      </c>
    </row>
    <row r="85" ht="22.5" customHeight="1">
      <c r="A85" s="18">
        <v>45883.7820815625</v>
      </c>
      <c r="B85" s="19" t="s">
        <v>269</v>
      </c>
      <c r="C85" s="19" t="s">
        <v>1425</v>
      </c>
      <c r="D85" s="19" t="s">
        <v>26</v>
      </c>
      <c r="E85" s="19" t="s">
        <v>1426</v>
      </c>
      <c r="F85" s="19">
        <v>34.0</v>
      </c>
      <c r="G85" s="19">
        <v>45.0</v>
      </c>
      <c r="H85" s="19">
        <v>56.0</v>
      </c>
      <c r="I85" s="19" t="s">
        <v>438</v>
      </c>
      <c r="J85" s="19">
        <v>99.0</v>
      </c>
      <c r="K85" s="22" t="s">
        <v>674</v>
      </c>
      <c r="L85" s="22">
        <v>64.0</v>
      </c>
      <c r="M85" s="22" t="s">
        <v>313</v>
      </c>
      <c r="N85" s="22" t="s">
        <v>985</v>
      </c>
    </row>
    <row r="86" ht="22.5" customHeight="1">
      <c r="A86" s="18">
        <v>45883.792127465276</v>
      </c>
      <c r="B86" s="19" t="s">
        <v>573</v>
      </c>
      <c r="C86" s="19" t="s">
        <v>574</v>
      </c>
      <c r="D86" s="19" t="s">
        <v>718</v>
      </c>
      <c r="E86" s="19" t="s">
        <v>939</v>
      </c>
      <c r="F86" s="19">
        <v>34.0</v>
      </c>
      <c r="G86" s="19">
        <v>34.0</v>
      </c>
      <c r="H86" s="19">
        <v>55.0</v>
      </c>
      <c r="I86" s="19" t="s">
        <v>370</v>
      </c>
      <c r="J86" s="19">
        <v>99.0</v>
      </c>
      <c r="K86" s="22" t="s">
        <v>674</v>
      </c>
      <c r="L86" s="22">
        <v>66.0</v>
      </c>
      <c r="M86" s="22" t="s">
        <v>374</v>
      </c>
      <c r="N86" s="22" t="s">
        <v>1005</v>
      </c>
    </row>
    <row r="87" ht="22.5" customHeight="1">
      <c r="A87" s="18">
        <v>45883.79783859954</v>
      </c>
      <c r="B87" s="19" t="s">
        <v>1428</v>
      </c>
      <c r="C87" s="19" t="s">
        <v>1430</v>
      </c>
      <c r="D87" s="19" t="s">
        <v>26</v>
      </c>
      <c r="E87" s="19" t="s">
        <v>1431</v>
      </c>
      <c r="F87" s="19">
        <v>24.0</v>
      </c>
      <c r="G87" s="19">
        <v>35.0</v>
      </c>
      <c r="H87" s="19">
        <v>56.0</v>
      </c>
      <c r="I87" s="19" t="s">
        <v>101</v>
      </c>
      <c r="J87" s="19">
        <v>99.0</v>
      </c>
      <c r="K87" s="22" t="s">
        <v>674</v>
      </c>
      <c r="L87" s="22">
        <v>50.0</v>
      </c>
      <c r="M87" s="22" t="s">
        <v>313</v>
      </c>
      <c r="N87" s="22" t="s">
        <v>985</v>
      </c>
    </row>
    <row r="88" ht="22.5" customHeight="1">
      <c r="A88" s="18">
        <v>45883.80569851852</v>
      </c>
      <c r="B88" s="19" t="s">
        <v>1425</v>
      </c>
      <c r="C88" s="19" t="s">
        <v>1432</v>
      </c>
      <c r="D88" s="19" t="s">
        <v>718</v>
      </c>
      <c r="E88" s="19" t="s">
        <v>1433</v>
      </c>
      <c r="F88" s="19">
        <v>23.0</v>
      </c>
      <c r="G88" s="19">
        <v>35.0</v>
      </c>
      <c r="H88" s="19">
        <v>78.0</v>
      </c>
      <c r="I88" s="19" t="s">
        <v>160</v>
      </c>
      <c r="J88" s="19">
        <v>90.0</v>
      </c>
      <c r="K88" s="22" t="s">
        <v>674</v>
      </c>
      <c r="L88" s="22">
        <v>50.0</v>
      </c>
      <c r="M88" s="22" t="s">
        <v>313</v>
      </c>
      <c r="N88" s="22" t="s">
        <v>985</v>
      </c>
    </row>
    <row r="89" ht="22.5" customHeight="1">
      <c r="A89" s="18">
        <v>45883.831156678236</v>
      </c>
      <c r="B89" s="19" t="s">
        <v>573</v>
      </c>
      <c r="C89" s="19" t="s">
        <v>574</v>
      </c>
      <c r="D89" s="19" t="s">
        <v>26</v>
      </c>
      <c r="E89" s="19" t="s">
        <v>1259</v>
      </c>
      <c r="F89" s="19">
        <v>34.0</v>
      </c>
      <c r="G89" s="19">
        <v>23.0</v>
      </c>
      <c r="H89" s="19">
        <v>45.0</v>
      </c>
      <c r="I89" s="19" t="s">
        <v>370</v>
      </c>
      <c r="J89" s="19">
        <v>99.0</v>
      </c>
      <c r="K89" s="22" t="s">
        <v>674</v>
      </c>
      <c r="L89" s="22">
        <v>56.00000000000001</v>
      </c>
      <c r="M89" s="22" t="s">
        <v>313</v>
      </c>
      <c r="N89" s="22" t="s">
        <v>985</v>
      </c>
    </row>
    <row r="90" ht="22.5" customHeight="1">
      <c r="A90" s="18">
        <v>45883.833703067125</v>
      </c>
      <c r="B90" s="19" t="s">
        <v>1435</v>
      </c>
      <c r="C90" s="19" t="s">
        <v>1436</v>
      </c>
      <c r="D90" s="19" t="s">
        <v>718</v>
      </c>
      <c r="E90" s="19" t="s">
        <v>1437</v>
      </c>
      <c r="F90" s="19">
        <v>23.0</v>
      </c>
      <c r="G90" s="19">
        <v>45.0</v>
      </c>
      <c r="H90" s="19">
        <v>46.0</v>
      </c>
      <c r="I90" s="19" t="s">
        <v>438</v>
      </c>
      <c r="J90" s="19">
        <v>99.0</v>
      </c>
      <c r="K90" s="22" t="s">
        <v>674</v>
      </c>
      <c r="L90" s="22">
        <v>54.0</v>
      </c>
      <c r="M90" s="22" t="s">
        <v>313</v>
      </c>
      <c r="N90" s="22" t="s">
        <v>985</v>
      </c>
    </row>
    <row r="91" ht="22.5" customHeight="1">
      <c r="A91" s="18">
        <v>45883.87884425926</v>
      </c>
      <c r="B91" s="19" t="s">
        <v>226</v>
      </c>
      <c r="C91" s="19" t="s">
        <v>561</v>
      </c>
      <c r="D91" s="19" t="s">
        <v>1439</v>
      </c>
      <c r="E91" s="19" t="s">
        <v>1440</v>
      </c>
      <c r="F91" s="19">
        <v>34.0</v>
      </c>
      <c r="G91" s="19">
        <v>55.0</v>
      </c>
      <c r="H91" s="19">
        <v>55.0</v>
      </c>
      <c r="I91" s="19" t="s">
        <v>370</v>
      </c>
      <c r="J91" s="19">
        <v>99.0</v>
      </c>
      <c r="K91" s="22" t="s">
        <v>674</v>
      </c>
      <c r="L91" s="22">
        <v>74.0</v>
      </c>
      <c r="M91" s="22" t="s">
        <v>374</v>
      </c>
      <c r="N91" s="22" t="s">
        <v>1005</v>
      </c>
    </row>
    <row r="92" ht="22.5" customHeight="1">
      <c r="A92" s="18">
        <v>45883.88023435185</v>
      </c>
      <c r="B92" s="19" t="s">
        <v>226</v>
      </c>
      <c r="C92" s="19" t="s">
        <v>561</v>
      </c>
      <c r="D92" s="19" t="s">
        <v>562</v>
      </c>
      <c r="E92" s="19" t="s">
        <v>1440</v>
      </c>
      <c r="F92" s="19">
        <v>35.0</v>
      </c>
      <c r="G92" s="19">
        <v>55.0</v>
      </c>
      <c r="H92" s="19">
        <v>55.0</v>
      </c>
      <c r="I92" s="19" t="s">
        <v>370</v>
      </c>
      <c r="J92" s="19">
        <v>99.0</v>
      </c>
      <c r="K92" s="22" t="s">
        <v>674</v>
      </c>
      <c r="L92" s="22">
        <v>76.0</v>
      </c>
      <c r="M92" s="22" t="s">
        <v>374</v>
      </c>
      <c r="N92" s="22" t="s">
        <v>1005</v>
      </c>
    </row>
    <row r="93" ht="22.5" customHeight="1">
      <c r="A93" s="18">
        <v>45887.69125959491</v>
      </c>
      <c r="B93" s="19" t="s">
        <v>573</v>
      </c>
      <c r="C93" s="19" t="s">
        <v>574</v>
      </c>
      <c r="D93" s="19" t="s">
        <v>718</v>
      </c>
      <c r="E93" s="19" t="s">
        <v>1441</v>
      </c>
      <c r="F93" s="19">
        <v>34.0</v>
      </c>
      <c r="G93" s="19">
        <v>44.0</v>
      </c>
      <c r="H93" s="19">
        <v>56.0</v>
      </c>
      <c r="I93" s="19" t="s">
        <v>101</v>
      </c>
      <c r="J93" s="19">
        <v>89.0</v>
      </c>
      <c r="K93" s="22" t="s">
        <v>674</v>
      </c>
      <c r="L93" s="22">
        <v>56.00000000000001</v>
      </c>
      <c r="M93" s="22" t="s">
        <v>313</v>
      </c>
      <c r="N93" s="22" t="s">
        <v>985</v>
      </c>
    </row>
    <row r="94" ht="22.5" customHeight="1">
      <c r="A94" s="18">
        <v>45887.70891101852</v>
      </c>
      <c r="B94" s="19" t="s">
        <v>573</v>
      </c>
      <c r="C94" s="19" t="s">
        <v>574</v>
      </c>
      <c r="D94" s="19" t="s">
        <v>26</v>
      </c>
      <c r="E94" s="19" t="s">
        <v>939</v>
      </c>
      <c r="F94" s="19">
        <v>34.0</v>
      </c>
      <c r="G94" s="19">
        <v>55.0</v>
      </c>
      <c r="H94" s="19">
        <v>55.0</v>
      </c>
      <c r="I94" s="19" t="s">
        <v>370</v>
      </c>
      <c r="J94" s="19">
        <v>99.0</v>
      </c>
      <c r="K94" s="22" t="s">
        <v>674</v>
      </c>
      <c r="L94" s="22">
        <v>74.0</v>
      </c>
      <c r="M94" s="22" t="s">
        <v>374</v>
      </c>
      <c r="N94" s="22" t="s">
        <v>1005</v>
      </c>
    </row>
    <row r="95" ht="22.5" customHeight="1">
      <c r="A95" s="18">
        <v>45887.72791138889</v>
      </c>
      <c r="B95" s="19" t="s">
        <v>1443</v>
      </c>
      <c r="C95" s="19" t="s">
        <v>642</v>
      </c>
      <c r="D95" s="19" t="s">
        <v>1445</v>
      </c>
      <c r="E95" s="19" t="s">
        <v>642</v>
      </c>
      <c r="F95" s="19">
        <v>34.0</v>
      </c>
      <c r="G95" s="19">
        <v>34.0</v>
      </c>
      <c r="H95" s="19">
        <v>44.0</v>
      </c>
      <c r="I95" s="19" t="s">
        <v>385</v>
      </c>
      <c r="J95" s="19">
        <v>88.0</v>
      </c>
      <c r="K95" s="22" t="s">
        <v>674</v>
      </c>
      <c r="L95" s="22">
        <v>28.000000000000004</v>
      </c>
      <c r="M95" s="22" t="s">
        <v>252</v>
      </c>
      <c r="N95" s="22" t="s">
        <v>971</v>
      </c>
    </row>
    <row r="96" ht="22.5" customHeight="1">
      <c r="A96" s="18">
        <v>45887.72842233797</v>
      </c>
      <c r="B96" s="19" t="s">
        <v>573</v>
      </c>
      <c r="C96" s="19" t="s">
        <v>574</v>
      </c>
      <c r="D96" s="19" t="s">
        <v>26</v>
      </c>
      <c r="E96" s="19" t="s">
        <v>1446</v>
      </c>
      <c r="F96" s="19">
        <v>23.0</v>
      </c>
      <c r="G96" s="19">
        <v>34.0</v>
      </c>
      <c r="H96" s="19">
        <v>44.0</v>
      </c>
      <c r="I96" s="19" t="s">
        <v>370</v>
      </c>
      <c r="J96" s="19">
        <v>89.0</v>
      </c>
      <c r="K96" s="22" t="s">
        <v>674</v>
      </c>
      <c r="L96" s="22">
        <v>54.0</v>
      </c>
      <c r="M96" s="22" t="s">
        <v>313</v>
      </c>
      <c r="N96" s="22" t="s">
        <v>985</v>
      </c>
    </row>
    <row r="97" ht="22.5" customHeight="1">
      <c r="A97" s="18">
        <v>45887.7350125</v>
      </c>
      <c r="B97" s="19" t="s">
        <v>573</v>
      </c>
      <c r="C97" s="19" t="s">
        <v>1448</v>
      </c>
      <c r="D97" s="19" t="s">
        <v>26</v>
      </c>
      <c r="E97" s="19" t="s">
        <v>1449</v>
      </c>
      <c r="F97" s="19">
        <v>23.0</v>
      </c>
      <c r="G97" s="19">
        <v>33.0</v>
      </c>
      <c r="H97" s="19">
        <v>44.0</v>
      </c>
      <c r="I97" s="19" t="s">
        <v>438</v>
      </c>
      <c r="J97" s="19">
        <v>66.0</v>
      </c>
      <c r="K97" s="22" t="s">
        <v>674</v>
      </c>
      <c r="L97" s="22">
        <v>46.0</v>
      </c>
      <c r="M97" s="22" t="s">
        <v>164</v>
      </c>
      <c r="N97" s="22" t="s">
        <v>208</v>
      </c>
    </row>
    <row r="98" ht="22.5" customHeight="1">
      <c r="A98" s="18">
        <v>45887.74679824074</v>
      </c>
      <c r="B98" s="19" t="s">
        <v>1450</v>
      </c>
      <c r="C98" s="19" t="s">
        <v>1451</v>
      </c>
      <c r="D98" s="19" t="s">
        <v>26</v>
      </c>
      <c r="E98" s="19" t="s">
        <v>939</v>
      </c>
      <c r="F98" s="19">
        <v>23.0</v>
      </c>
      <c r="G98" s="19">
        <v>34.0</v>
      </c>
      <c r="H98" s="19">
        <v>45.0</v>
      </c>
      <c r="I98" s="19" t="s">
        <v>438</v>
      </c>
      <c r="J98" s="19">
        <v>89.0</v>
      </c>
      <c r="K98" s="22" t="s">
        <v>674</v>
      </c>
      <c r="L98" s="22">
        <v>48.0</v>
      </c>
      <c r="M98" s="22" t="s">
        <v>164</v>
      </c>
      <c r="N98" s="22" t="s">
        <v>208</v>
      </c>
    </row>
    <row r="99" ht="22.5" customHeight="1">
      <c r="A99" s="18">
        <v>45887.747865</v>
      </c>
      <c r="B99" s="19" t="s">
        <v>573</v>
      </c>
      <c r="C99" s="19" t="s">
        <v>574</v>
      </c>
      <c r="D99" s="19" t="s">
        <v>718</v>
      </c>
      <c r="E99" s="19" t="s">
        <v>939</v>
      </c>
      <c r="F99" s="19">
        <v>24.0</v>
      </c>
      <c r="G99" s="19">
        <v>44.0</v>
      </c>
      <c r="H99" s="19">
        <v>66.0</v>
      </c>
      <c r="I99" s="19" t="s">
        <v>370</v>
      </c>
      <c r="J99" s="19">
        <v>99.0</v>
      </c>
      <c r="K99" s="22" t="s">
        <v>674</v>
      </c>
      <c r="L99" s="22">
        <v>66.0</v>
      </c>
      <c r="M99" s="22" t="s">
        <v>374</v>
      </c>
      <c r="N99" s="22" t="s">
        <v>1005</v>
      </c>
    </row>
    <row r="100" ht="22.5" customHeight="1">
      <c r="A100" s="18">
        <v>45887.85642243056</v>
      </c>
      <c r="B100" s="19" t="s">
        <v>1039</v>
      </c>
      <c r="C100" s="19" t="s">
        <v>1454</v>
      </c>
      <c r="D100" s="19" t="s">
        <v>1455</v>
      </c>
      <c r="E100" s="19" t="s">
        <v>1456</v>
      </c>
      <c r="F100" s="19">
        <v>23.0</v>
      </c>
      <c r="G100" s="19">
        <v>44.0</v>
      </c>
      <c r="H100" s="19">
        <v>44.0</v>
      </c>
      <c r="I100" s="19" t="s">
        <v>101</v>
      </c>
      <c r="J100" s="19">
        <v>100.0</v>
      </c>
      <c r="K100" s="22" t="s">
        <v>674</v>
      </c>
      <c r="L100" s="22">
        <v>48.0</v>
      </c>
      <c r="M100" s="22" t="s">
        <v>164</v>
      </c>
      <c r="N100" s="22" t="s">
        <v>208</v>
      </c>
    </row>
    <row r="101" ht="22.5" customHeight="1">
      <c r="A101" s="18">
        <v>45887.857770312505</v>
      </c>
      <c r="B101" s="19" t="s">
        <v>573</v>
      </c>
      <c r="C101" s="19" t="s">
        <v>574</v>
      </c>
      <c r="D101" s="19" t="s">
        <v>26</v>
      </c>
      <c r="E101" s="19">
        <v>34.0</v>
      </c>
      <c r="F101" s="19">
        <v>44.0</v>
      </c>
      <c r="G101" s="19">
        <v>55.0</v>
      </c>
      <c r="H101" s="19">
        <v>66.0</v>
      </c>
      <c r="I101" s="19" t="s">
        <v>438</v>
      </c>
      <c r="J101" s="19">
        <v>99.0</v>
      </c>
      <c r="K101" s="22" t="s">
        <v>674</v>
      </c>
      <c r="L101" s="22">
        <v>70.0</v>
      </c>
      <c r="M101" s="22" t="s">
        <v>374</v>
      </c>
      <c r="N101" s="22" t="s">
        <v>1005</v>
      </c>
    </row>
    <row r="102" ht="22.5" customHeight="1">
      <c r="A102" s="18">
        <v>45888.754545868054</v>
      </c>
      <c r="B102" s="19" t="s">
        <v>1458</v>
      </c>
      <c r="C102" s="19" t="s">
        <v>1459</v>
      </c>
      <c r="D102" s="19" t="s">
        <v>1460</v>
      </c>
      <c r="E102" s="19" t="s">
        <v>1109</v>
      </c>
      <c r="F102" s="19">
        <v>33.0</v>
      </c>
      <c r="G102" s="19">
        <v>44.0</v>
      </c>
      <c r="H102" s="19">
        <v>55.0</v>
      </c>
      <c r="I102" s="19" t="s">
        <v>370</v>
      </c>
      <c r="J102" s="19">
        <v>99.0</v>
      </c>
      <c r="K102" s="22" t="s">
        <v>674</v>
      </c>
      <c r="L102" s="22">
        <v>70.0</v>
      </c>
      <c r="M102" s="22" t="s">
        <v>374</v>
      </c>
      <c r="N102" s="22" t="s">
        <v>1005</v>
      </c>
    </row>
    <row r="103" ht="22.5" customHeight="1">
      <c r="A103" s="18">
        <v>45888.758905995375</v>
      </c>
      <c r="B103" s="19" t="s">
        <v>1462</v>
      </c>
      <c r="C103" s="19" t="s">
        <v>1463</v>
      </c>
      <c r="D103" s="19" t="s">
        <v>1464</v>
      </c>
      <c r="E103" s="19" t="s">
        <v>1465</v>
      </c>
      <c r="F103" s="19">
        <v>34.0</v>
      </c>
      <c r="G103" s="19">
        <v>44.0</v>
      </c>
      <c r="H103" s="19">
        <v>55.0</v>
      </c>
      <c r="I103" s="19" t="s">
        <v>370</v>
      </c>
      <c r="J103" s="19">
        <v>99.0</v>
      </c>
      <c r="K103" s="22" t="s">
        <v>674</v>
      </c>
      <c r="L103" s="22">
        <v>70.0</v>
      </c>
      <c r="M103" s="22" t="s">
        <v>374</v>
      </c>
      <c r="N103" s="22" t="s">
        <v>1005</v>
      </c>
    </row>
    <row r="104" ht="22.5" customHeight="1">
      <c r="A104" s="18">
        <v>45894.864437048614</v>
      </c>
      <c r="B104" s="19" t="s">
        <v>1466</v>
      </c>
      <c r="C104" s="19" t="s">
        <v>1467</v>
      </c>
      <c r="D104" s="19" t="s">
        <v>1468</v>
      </c>
      <c r="E104" s="19" t="s">
        <v>1469</v>
      </c>
      <c r="F104" s="19">
        <v>29.0</v>
      </c>
      <c r="G104" s="19">
        <v>39.0</v>
      </c>
      <c r="H104" s="19">
        <v>59.0</v>
      </c>
      <c r="I104" s="19" t="s">
        <v>438</v>
      </c>
      <c r="J104" s="19">
        <v>89.0</v>
      </c>
      <c r="K104" s="22" t="s">
        <v>674</v>
      </c>
      <c r="L104" s="22">
        <v>56.00000000000001</v>
      </c>
      <c r="M104" s="22" t="s">
        <v>313</v>
      </c>
      <c r="N104" s="22" t="s">
        <v>985</v>
      </c>
    </row>
    <row r="105" ht="22.5" customHeight="1">
      <c r="A105" s="18">
        <v>45895.835736574074</v>
      </c>
      <c r="B105" s="19" t="s">
        <v>1471</v>
      </c>
      <c r="C105" s="19" t="s">
        <v>1472</v>
      </c>
      <c r="D105" s="19" t="s">
        <v>1473</v>
      </c>
      <c r="E105" s="19" t="s">
        <v>1475</v>
      </c>
      <c r="F105" s="19">
        <v>28.0</v>
      </c>
      <c r="G105" s="19">
        <v>35.0</v>
      </c>
      <c r="H105" s="19">
        <v>67.0</v>
      </c>
      <c r="I105" s="19" t="s">
        <v>101</v>
      </c>
      <c r="J105" s="19">
        <v>92.0</v>
      </c>
      <c r="K105" s="22" t="s">
        <v>674</v>
      </c>
      <c r="L105" s="22">
        <v>52.0</v>
      </c>
      <c r="M105" s="22" t="s">
        <v>313</v>
      </c>
      <c r="N105" s="22" t="s">
        <v>985</v>
      </c>
    </row>
    <row r="106" ht="22.5" customHeight="1">
      <c r="A106" s="18">
        <v>45895.864689594906</v>
      </c>
      <c r="B106" s="19" t="s">
        <v>1476</v>
      </c>
      <c r="C106" s="19" t="s">
        <v>1477</v>
      </c>
      <c r="D106" s="19" t="s">
        <v>1478</v>
      </c>
      <c r="E106" s="19" t="s">
        <v>1479</v>
      </c>
      <c r="F106" s="19">
        <v>27.0</v>
      </c>
      <c r="G106" s="19">
        <v>41.0</v>
      </c>
      <c r="H106" s="19">
        <v>55.0</v>
      </c>
      <c r="I106" s="19" t="s">
        <v>160</v>
      </c>
      <c r="J106" s="19">
        <v>90.0</v>
      </c>
      <c r="K106" s="22" t="s">
        <v>674</v>
      </c>
      <c r="L106" s="22">
        <v>50.0</v>
      </c>
      <c r="M106" s="22" t="s">
        <v>313</v>
      </c>
      <c r="N106" s="22" t="s">
        <v>985</v>
      </c>
    </row>
    <row r="107" ht="22.5" customHeight="1">
      <c r="A107" s="18">
        <v>45896.86231144676</v>
      </c>
      <c r="B107" s="19" t="s">
        <v>1481</v>
      </c>
      <c r="C107" s="19" t="s">
        <v>1482</v>
      </c>
      <c r="D107" s="19" t="s">
        <v>1483</v>
      </c>
      <c r="E107" s="19" t="s">
        <v>1484</v>
      </c>
      <c r="F107" s="19">
        <v>29.0</v>
      </c>
      <c r="G107" s="19">
        <v>37.0</v>
      </c>
      <c r="H107" s="19">
        <v>59.0</v>
      </c>
      <c r="I107" s="19" t="s">
        <v>370</v>
      </c>
      <c r="J107" s="19">
        <v>90.0</v>
      </c>
      <c r="K107" s="22" t="s">
        <v>674</v>
      </c>
      <c r="L107" s="22">
        <v>64.0</v>
      </c>
      <c r="M107" s="22" t="s">
        <v>313</v>
      </c>
      <c r="N107" s="22" t="s">
        <v>985</v>
      </c>
    </row>
    <row r="108" ht="22.5" customHeight="1">
      <c r="A108" s="18">
        <v>45897.082817268514</v>
      </c>
      <c r="B108" s="19" t="s">
        <v>1486</v>
      </c>
      <c r="C108" s="19" t="s">
        <v>1487</v>
      </c>
      <c r="D108" s="19" t="s">
        <v>1488</v>
      </c>
      <c r="E108" s="19" t="s">
        <v>1489</v>
      </c>
      <c r="F108" s="19">
        <v>30.0</v>
      </c>
      <c r="G108" s="19">
        <v>45.0</v>
      </c>
      <c r="H108" s="19">
        <v>67.0</v>
      </c>
      <c r="I108" s="19" t="s">
        <v>438</v>
      </c>
      <c r="J108" s="19">
        <v>99.0</v>
      </c>
      <c r="K108" s="22" t="s">
        <v>674</v>
      </c>
      <c r="L108" s="22">
        <v>64.0</v>
      </c>
      <c r="M108" s="22" t="s">
        <v>313</v>
      </c>
      <c r="N108" s="22" t="s">
        <v>985</v>
      </c>
    </row>
    <row r="109" ht="22.5" customHeight="1">
      <c r="A109" s="18">
        <v>45897.10157104167</v>
      </c>
      <c r="B109" s="19" t="s">
        <v>226</v>
      </c>
      <c r="C109" s="19" t="s">
        <v>561</v>
      </c>
      <c r="D109" s="19" t="s">
        <v>647</v>
      </c>
      <c r="E109" s="19" t="s">
        <v>1489</v>
      </c>
      <c r="F109" s="19">
        <v>27.0</v>
      </c>
      <c r="G109" s="19">
        <v>44.0</v>
      </c>
      <c r="H109" s="19">
        <v>63.0</v>
      </c>
      <c r="I109" s="19" t="s">
        <v>370</v>
      </c>
      <c r="J109" s="19">
        <v>95.0</v>
      </c>
      <c r="K109" s="22" t="s">
        <v>674</v>
      </c>
      <c r="L109" s="22">
        <v>68.0</v>
      </c>
      <c r="M109" s="22" t="s">
        <v>374</v>
      </c>
      <c r="N109" s="22" t="s">
        <v>1005</v>
      </c>
    </row>
    <row r="110" ht="22.5" customHeight="1">
      <c r="A110" s="18">
        <v>45897.10380038194</v>
      </c>
      <c r="B110" s="19" t="s">
        <v>1491</v>
      </c>
      <c r="C110" s="19" t="s">
        <v>1492</v>
      </c>
      <c r="D110" s="19" t="s">
        <v>1493</v>
      </c>
      <c r="E110" s="19" t="s">
        <v>1494</v>
      </c>
      <c r="F110" s="19">
        <v>33.0</v>
      </c>
      <c r="G110" s="19">
        <v>45.0</v>
      </c>
      <c r="H110" s="19">
        <v>66.0</v>
      </c>
      <c r="I110" s="19" t="s">
        <v>370</v>
      </c>
      <c r="J110" s="19">
        <v>99.0</v>
      </c>
      <c r="K110" s="22" t="s">
        <v>674</v>
      </c>
      <c r="L110" s="22">
        <v>70.0</v>
      </c>
      <c r="M110" s="22" t="s">
        <v>374</v>
      </c>
      <c r="N110" s="22" t="s">
        <v>1005</v>
      </c>
    </row>
    <row r="111" ht="22.5" customHeight="1">
      <c r="A111" s="18">
        <v>45897.864140868056</v>
      </c>
      <c r="B111" s="19" t="s">
        <v>1495</v>
      </c>
      <c r="C111" s="19" t="s">
        <v>1497</v>
      </c>
      <c r="D111" s="19" t="s">
        <v>1498</v>
      </c>
      <c r="E111" s="19" t="s">
        <v>1499</v>
      </c>
      <c r="F111" s="19">
        <v>34.0</v>
      </c>
      <c r="G111" s="19">
        <v>55.0</v>
      </c>
      <c r="H111" s="19">
        <v>56.0</v>
      </c>
      <c r="I111" s="19" t="s">
        <v>438</v>
      </c>
      <c r="J111" s="19">
        <v>99.0</v>
      </c>
      <c r="K111" s="22" t="s">
        <v>674</v>
      </c>
      <c r="L111" s="22">
        <v>68.0</v>
      </c>
      <c r="M111" s="22" t="s">
        <v>374</v>
      </c>
      <c r="N111" s="22" t="s">
        <v>1005</v>
      </c>
    </row>
    <row r="112" ht="22.5" customHeight="1">
      <c r="A112" s="18">
        <v>45897.86987386574</v>
      </c>
      <c r="B112" s="19" t="s">
        <v>1141</v>
      </c>
      <c r="C112" s="19" t="s">
        <v>1142</v>
      </c>
      <c r="D112" s="19" t="s">
        <v>1500</v>
      </c>
      <c r="E112" s="19" t="s">
        <v>1501</v>
      </c>
      <c r="F112" s="19">
        <v>33.0</v>
      </c>
      <c r="G112" s="19">
        <v>44.0</v>
      </c>
      <c r="H112" s="19">
        <v>55.0</v>
      </c>
      <c r="I112" s="19" t="s">
        <v>370</v>
      </c>
      <c r="J112" s="19">
        <v>99.0</v>
      </c>
      <c r="K112" s="22" t="s">
        <v>674</v>
      </c>
      <c r="L112" s="22">
        <v>70.0</v>
      </c>
      <c r="M112" s="22" t="s">
        <v>374</v>
      </c>
      <c r="N112" s="22" t="s">
        <v>1005</v>
      </c>
    </row>
    <row r="113" ht="22.5" customHeight="1">
      <c r="A113" s="18">
        <v>45897.8912025926</v>
      </c>
      <c r="B113" s="19" t="s">
        <v>1503</v>
      </c>
      <c r="C113" s="19" t="s">
        <v>1504</v>
      </c>
      <c r="D113" s="19" t="s">
        <v>647</v>
      </c>
      <c r="E113" s="19" t="s">
        <v>965</v>
      </c>
      <c r="F113" s="19">
        <v>29.0</v>
      </c>
      <c r="G113" s="19">
        <v>63.0</v>
      </c>
      <c r="H113" s="19">
        <v>54.0</v>
      </c>
      <c r="I113" s="19" t="s">
        <v>438</v>
      </c>
      <c r="J113" s="19">
        <v>83.0</v>
      </c>
      <c r="K113" s="22" t="s">
        <v>674</v>
      </c>
      <c r="L113" s="22">
        <v>57.99999999999999</v>
      </c>
      <c r="M113" s="22" t="s">
        <v>313</v>
      </c>
      <c r="N113" s="22" t="s">
        <v>985</v>
      </c>
    </row>
    <row r="114" ht="22.5" customHeight="1">
      <c r="A114" s="18">
        <v>45897.96890715278</v>
      </c>
      <c r="B114" s="19" t="s">
        <v>1505</v>
      </c>
      <c r="C114" s="19" t="s">
        <v>1506</v>
      </c>
      <c r="D114" s="19" t="s">
        <v>1500</v>
      </c>
      <c r="E114" s="19" t="s">
        <v>1507</v>
      </c>
      <c r="F114" s="19">
        <v>34.0</v>
      </c>
      <c r="G114" s="19">
        <v>45.0</v>
      </c>
      <c r="H114" s="19">
        <v>56.0</v>
      </c>
      <c r="I114" s="19" t="s">
        <v>370</v>
      </c>
      <c r="J114" s="19">
        <v>90.0</v>
      </c>
      <c r="K114" s="22" t="s">
        <v>674</v>
      </c>
      <c r="L114" s="22">
        <v>70.0</v>
      </c>
      <c r="M114" s="22" t="s">
        <v>374</v>
      </c>
      <c r="N114" s="22" t="s">
        <v>1005</v>
      </c>
    </row>
    <row r="115" ht="22.5" customHeight="1">
      <c r="A115" s="18">
        <v>45897.98255508102</v>
      </c>
      <c r="B115" s="19" t="s">
        <v>1509</v>
      </c>
      <c r="C115" s="19" t="s">
        <v>1510</v>
      </c>
      <c r="D115" s="19" t="s">
        <v>1500</v>
      </c>
      <c r="E115" s="19" t="s">
        <v>1511</v>
      </c>
      <c r="F115" s="19">
        <v>31.0</v>
      </c>
      <c r="G115" s="19">
        <v>45.0</v>
      </c>
      <c r="H115" s="19">
        <v>62.0</v>
      </c>
      <c r="I115" s="19" t="s">
        <v>370</v>
      </c>
      <c r="J115" s="19">
        <v>99.0</v>
      </c>
      <c r="K115" s="22" t="s">
        <v>674</v>
      </c>
      <c r="L115" s="22">
        <v>70.0</v>
      </c>
      <c r="M115" s="22" t="s">
        <v>374</v>
      </c>
      <c r="N115" s="22" t="s">
        <v>1005</v>
      </c>
    </row>
    <row r="116" ht="22.5" customHeight="1">
      <c r="A116" s="18">
        <v>45897.9926141551</v>
      </c>
      <c r="B116" s="19" t="s">
        <v>573</v>
      </c>
      <c r="C116" s="19" t="s">
        <v>574</v>
      </c>
      <c r="D116" s="19" t="s">
        <v>26</v>
      </c>
      <c r="E116" s="19" t="s">
        <v>939</v>
      </c>
      <c r="F116" s="19">
        <v>23.0</v>
      </c>
      <c r="G116" s="19">
        <v>34.0</v>
      </c>
      <c r="H116" s="19">
        <v>45.0</v>
      </c>
      <c r="I116" s="19" t="s">
        <v>370</v>
      </c>
      <c r="J116" s="19">
        <v>89.0</v>
      </c>
      <c r="K116" s="22" t="s">
        <v>674</v>
      </c>
      <c r="L116" s="22">
        <v>54.0</v>
      </c>
      <c r="M116" s="22" t="s">
        <v>313</v>
      </c>
      <c r="N116" s="22" t="s">
        <v>985</v>
      </c>
    </row>
    <row r="117" ht="22.5" customHeight="1">
      <c r="A117" s="18">
        <v>45897.9976999537</v>
      </c>
      <c r="B117" s="19" t="s">
        <v>573</v>
      </c>
      <c r="C117" s="19" t="s">
        <v>574</v>
      </c>
      <c r="D117" s="19" t="s">
        <v>26</v>
      </c>
      <c r="E117" s="19" t="s">
        <v>1525</v>
      </c>
      <c r="F117" s="19">
        <v>25.0</v>
      </c>
      <c r="G117" s="19">
        <v>35.0</v>
      </c>
      <c r="H117" s="19">
        <v>56.0</v>
      </c>
      <c r="I117" s="19" t="s">
        <v>438</v>
      </c>
      <c r="J117" s="19">
        <v>89.0</v>
      </c>
      <c r="K117" s="22" t="s">
        <v>674</v>
      </c>
      <c r="L117" s="22">
        <v>56.00000000000001</v>
      </c>
      <c r="M117" s="22" t="s">
        <v>313</v>
      </c>
      <c r="N117" s="22" t="s">
        <v>985</v>
      </c>
    </row>
    <row r="118" ht="22.5" customHeight="1">
      <c r="A118" s="18">
        <v>45898.00736488426</v>
      </c>
      <c r="B118" s="19" t="s">
        <v>573</v>
      </c>
      <c r="C118" s="19" t="s">
        <v>574</v>
      </c>
      <c r="D118" s="19" t="s">
        <v>26</v>
      </c>
      <c r="E118" s="19" t="s">
        <v>1536</v>
      </c>
      <c r="F118" s="19">
        <v>28.0</v>
      </c>
      <c r="G118" s="19">
        <v>37.0</v>
      </c>
      <c r="H118" s="19">
        <v>59.0</v>
      </c>
      <c r="I118" s="19" t="s">
        <v>370</v>
      </c>
      <c r="J118" s="19">
        <v>90.0</v>
      </c>
      <c r="K118" s="22" t="s">
        <v>674</v>
      </c>
      <c r="L118" s="22">
        <v>64.0</v>
      </c>
      <c r="M118" s="22" t="s">
        <v>313</v>
      </c>
      <c r="N118" s="22" t="s">
        <v>985</v>
      </c>
    </row>
    <row r="119" ht="22.5" customHeight="1">
      <c r="A119" s="18">
        <v>45898.01097520834</v>
      </c>
      <c r="B119" s="19" t="s">
        <v>573</v>
      </c>
      <c r="C119" s="19" t="s">
        <v>574</v>
      </c>
      <c r="D119" s="19" t="s">
        <v>26</v>
      </c>
      <c r="E119" s="19" t="s">
        <v>1547</v>
      </c>
      <c r="F119" s="19">
        <v>28.0</v>
      </c>
      <c r="G119" s="19">
        <v>37.0</v>
      </c>
      <c r="H119" s="19">
        <v>59.0</v>
      </c>
      <c r="I119" s="19" t="s">
        <v>370</v>
      </c>
      <c r="J119" s="19">
        <v>90.0</v>
      </c>
      <c r="K119" s="22" t="s">
        <v>674</v>
      </c>
      <c r="L119" s="22">
        <v>64.0</v>
      </c>
      <c r="M119" s="22" t="s">
        <v>313</v>
      </c>
      <c r="N119" s="22" t="s">
        <v>985</v>
      </c>
    </row>
    <row r="120" ht="22.5" customHeight="1">
      <c r="A120" s="18">
        <v>45898.01793332176</v>
      </c>
      <c r="B120" s="19" t="s">
        <v>573</v>
      </c>
      <c r="C120" s="19" t="s">
        <v>574</v>
      </c>
      <c r="D120" s="19" t="s">
        <v>26</v>
      </c>
      <c r="E120" s="19" t="s">
        <v>1547</v>
      </c>
      <c r="F120" s="19">
        <v>28.0</v>
      </c>
      <c r="G120" s="19">
        <v>37.0</v>
      </c>
      <c r="H120" s="19">
        <v>59.0</v>
      </c>
      <c r="I120" s="19" t="s">
        <v>101</v>
      </c>
      <c r="J120" s="19">
        <v>90.0</v>
      </c>
      <c r="K120" s="22" t="s">
        <v>674</v>
      </c>
      <c r="L120" s="22">
        <v>52.0</v>
      </c>
      <c r="M120" s="22" t="s">
        <v>313</v>
      </c>
      <c r="N120" s="22" t="s">
        <v>985</v>
      </c>
    </row>
    <row r="121" ht="22.5" customHeight="1">
      <c r="A121" s="18">
        <v>45898.022815324075</v>
      </c>
      <c r="B121" s="19" t="s">
        <v>573</v>
      </c>
      <c r="C121" s="19" t="s">
        <v>574</v>
      </c>
      <c r="D121" s="19" t="s">
        <v>26</v>
      </c>
      <c r="E121" s="19" t="s">
        <v>1547</v>
      </c>
      <c r="F121" s="19">
        <v>28.0</v>
      </c>
      <c r="G121" s="19">
        <v>37.0</v>
      </c>
      <c r="H121" s="19">
        <v>59.0</v>
      </c>
      <c r="I121" s="19" t="s">
        <v>370</v>
      </c>
      <c r="J121" s="19">
        <v>90.0</v>
      </c>
      <c r="K121" s="22" t="s">
        <v>674</v>
      </c>
      <c r="L121" s="22">
        <v>64.0</v>
      </c>
      <c r="M121" s="22" t="s">
        <v>313</v>
      </c>
      <c r="N121" s="22" t="s">
        <v>985</v>
      </c>
    </row>
    <row r="122" ht="22.5" customHeight="1">
      <c r="A122" s="18">
        <v>45898.03812287037</v>
      </c>
      <c r="B122" s="19" t="s">
        <v>573</v>
      </c>
      <c r="C122" s="19" t="s">
        <v>574</v>
      </c>
      <c r="D122" s="19" t="s">
        <v>26</v>
      </c>
      <c r="E122" s="19" t="s">
        <v>939</v>
      </c>
      <c r="F122" s="19">
        <v>25.0</v>
      </c>
      <c r="G122" s="19">
        <v>35.0</v>
      </c>
      <c r="H122" s="19">
        <v>46.0</v>
      </c>
      <c r="I122" s="19" t="s">
        <v>438</v>
      </c>
      <c r="J122" s="19">
        <v>89.0</v>
      </c>
      <c r="K122" s="22" t="s">
        <v>674</v>
      </c>
      <c r="L122" s="22">
        <v>50.0</v>
      </c>
      <c r="M122" s="22" t="s">
        <v>313</v>
      </c>
      <c r="N122" s="22" t="s">
        <v>985</v>
      </c>
    </row>
    <row r="123" ht="22.5" customHeight="1">
      <c r="A123" s="18">
        <v>45898.04521090278</v>
      </c>
      <c r="B123" s="19" t="s">
        <v>573</v>
      </c>
      <c r="C123" s="19" t="s">
        <v>574</v>
      </c>
      <c r="D123" s="19" t="s">
        <v>26</v>
      </c>
      <c r="E123" s="19" t="s">
        <v>939</v>
      </c>
      <c r="F123" s="19">
        <v>34.0</v>
      </c>
      <c r="G123" s="19">
        <v>45.0</v>
      </c>
      <c r="H123" s="19">
        <v>57.0</v>
      </c>
      <c r="I123" s="19" t="s">
        <v>438</v>
      </c>
      <c r="J123" s="19">
        <v>88.0</v>
      </c>
      <c r="K123" s="22" t="s">
        <v>674</v>
      </c>
      <c r="L123" s="22">
        <v>62.0</v>
      </c>
      <c r="M123" s="22" t="s">
        <v>313</v>
      </c>
      <c r="N123" s="22" t="s">
        <v>985</v>
      </c>
    </row>
    <row r="124" ht="22.5" customHeight="1">
      <c r="A124" s="18">
        <v>45898.0542896875</v>
      </c>
      <c r="B124" s="19" t="s">
        <v>573</v>
      </c>
      <c r="C124" s="19" t="s">
        <v>574</v>
      </c>
      <c r="D124" s="19" t="s">
        <v>26</v>
      </c>
      <c r="E124" s="19" t="s">
        <v>1547</v>
      </c>
      <c r="F124" s="19">
        <v>33.0</v>
      </c>
      <c r="G124" s="19">
        <v>44.0</v>
      </c>
      <c r="H124" s="19">
        <v>55.0</v>
      </c>
      <c r="I124" s="19" t="s">
        <v>160</v>
      </c>
      <c r="J124" s="19">
        <v>89.0</v>
      </c>
      <c r="K124" s="22" t="s">
        <v>674</v>
      </c>
      <c r="L124" s="22">
        <v>50.0</v>
      </c>
      <c r="M124" s="22" t="s">
        <v>313</v>
      </c>
      <c r="N124" s="22" t="s">
        <v>985</v>
      </c>
    </row>
    <row r="125" ht="22.5" customHeight="1">
      <c r="A125" s="18">
        <v>45898.0557408912</v>
      </c>
      <c r="B125" s="19" t="s">
        <v>573</v>
      </c>
      <c r="C125" s="19" t="s">
        <v>574</v>
      </c>
      <c r="D125" s="19" t="s">
        <v>26</v>
      </c>
      <c r="E125" s="19" t="s">
        <v>1547</v>
      </c>
      <c r="F125" s="19">
        <v>29.0</v>
      </c>
      <c r="G125" s="19">
        <v>37.0</v>
      </c>
      <c r="H125" s="19">
        <v>66.0</v>
      </c>
      <c r="I125" s="19" t="s">
        <v>385</v>
      </c>
      <c r="J125" s="19">
        <v>99.0</v>
      </c>
      <c r="K125" s="22" t="s">
        <v>674</v>
      </c>
      <c r="L125" s="22">
        <v>34.0</v>
      </c>
      <c r="M125" s="22" t="s">
        <v>164</v>
      </c>
      <c r="N125" s="22" t="s">
        <v>208</v>
      </c>
    </row>
    <row r="126" ht="22.5" customHeight="1">
      <c r="A126" s="18">
        <v>45898.06286452546</v>
      </c>
      <c r="B126" s="19" t="s">
        <v>573</v>
      </c>
      <c r="C126" s="19" t="s">
        <v>574</v>
      </c>
      <c r="D126" s="19" t="s">
        <v>26</v>
      </c>
      <c r="E126" s="19" t="s">
        <v>939</v>
      </c>
      <c r="F126" s="19">
        <v>33.0</v>
      </c>
      <c r="G126" s="19">
        <v>44.0</v>
      </c>
      <c r="H126" s="19">
        <v>55.0</v>
      </c>
      <c r="I126" s="19" t="s">
        <v>715</v>
      </c>
      <c r="J126" s="19">
        <v>99.0</v>
      </c>
      <c r="K126" s="22" t="s">
        <v>674</v>
      </c>
      <c r="L126" s="22">
        <v>46.0</v>
      </c>
      <c r="M126" s="22" t="s">
        <v>164</v>
      </c>
      <c r="N126" s="22" t="s">
        <v>208</v>
      </c>
    </row>
    <row r="127" ht="22.5" customHeight="1">
      <c r="A127" s="18">
        <v>45898.068018148144</v>
      </c>
      <c r="B127" s="19" t="s">
        <v>573</v>
      </c>
      <c r="C127" s="19" t="s">
        <v>574</v>
      </c>
      <c r="D127" s="19" t="s">
        <v>26</v>
      </c>
      <c r="E127" s="19" t="s">
        <v>939</v>
      </c>
      <c r="F127" s="19">
        <v>29.0</v>
      </c>
      <c r="G127" s="19">
        <v>37.0</v>
      </c>
      <c r="H127" s="19">
        <v>66.0</v>
      </c>
      <c r="I127" s="19" t="s">
        <v>438</v>
      </c>
      <c r="J127" s="19">
        <v>89.0</v>
      </c>
      <c r="K127" s="22" t="s">
        <v>674</v>
      </c>
      <c r="L127" s="22">
        <v>56.00000000000001</v>
      </c>
      <c r="M127" s="22" t="s">
        <v>313</v>
      </c>
      <c r="N127" s="22" t="s">
        <v>985</v>
      </c>
    </row>
    <row r="128" ht="22.5" customHeight="1">
      <c r="A128" s="18">
        <v>45898.07946512732</v>
      </c>
      <c r="B128" s="19" t="s">
        <v>573</v>
      </c>
      <c r="C128" s="19" t="s">
        <v>574</v>
      </c>
      <c r="D128" s="19" t="s">
        <v>26</v>
      </c>
      <c r="E128" s="19" t="s">
        <v>939</v>
      </c>
      <c r="F128" s="19">
        <v>33.0</v>
      </c>
      <c r="G128" s="19">
        <v>44.0</v>
      </c>
      <c r="H128" s="19">
        <v>55.0</v>
      </c>
      <c r="I128" s="19" t="s">
        <v>438</v>
      </c>
      <c r="J128" s="19">
        <v>99.0</v>
      </c>
      <c r="K128" s="22" t="s">
        <v>674</v>
      </c>
      <c r="L128" s="22">
        <v>64.0</v>
      </c>
      <c r="M128" s="22" t="s">
        <v>313</v>
      </c>
      <c r="N128" s="22" t="s">
        <v>985</v>
      </c>
    </row>
    <row r="129" ht="22.5" customHeight="1">
      <c r="A129" s="18">
        <v>45898.084363483795</v>
      </c>
      <c r="B129" s="19" t="s">
        <v>573</v>
      </c>
      <c r="C129" s="19" t="s">
        <v>574</v>
      </c>
      <c r="D129" s="19" t="s">
        <v>26</v>
      </c>
      <c r="E129" s="19" t="s">
        <v>939</v>
      </c>
      <c r="F129" s="19">
        <v>33.0</v>
      </c>
      <c r="G129" s="19">
        <v>44.0</v>
      </c>
      <c r="H129" s="19">
        <v>55.0</v>
      </c>
      <c r="I129" s="19" t="s">
        <v>101</v>
      </c>
      <c r="J129" s="19">
        <v>98.0</v>
      </c>
      <c r="K129" s="22" t="s">
        <v>674</v>
      </c>
      <c r="L129" s="22">
        <v>57.99999999999999</v>
      </c>
      <c r="M129" s="22" t="s">
        <v>313</v>
      </c>
      <c r="N129" s="22" t="s">
        <v>985</v>
      </c>
    </row>
    <row r="130" ht="22.5" customHeight="1">
      <c r="A130" s="18">
        <v>45898.09530528935</v>
      </c>
      <c r="B130" s="19" t="s">
        <v>573</v>
      </c>
      <c r="C130" s="19" t="s">
        <v>574</v>
      </c>
      <c r="D130" s="19" t="s">
        <v>26</v>
      </c>
      <c r="E130" s="19" t="s">
        <v>939</v>
      </c>
      <c r="F130" s="19">
        <v>33.0</v>
      </c>
      <c r="G130" s="19">
        <v>44.0</v>
      </c>
      <c r="H130" s="19">
        <v>55.0</v>
      </c>
      <c r="I130" s="19" t="s">
        <v>438</v>
      </c>
      <c r="J130" s="19">
        <v>89.0</v>
      </c>
      <c r="K130" s="22" t="s">
        <v>674</v>
      </c>
      <c r="L130" s="22">
        <v>62.0</v>
      </c>
      <c r="M130" s="22" t="s">
        <v>313</v>
      </c>
      <c r="N130" s="22" t="s">
        <v>985</v>
      </c>
    </row>
    <row r="131" ht="22.5" customHeight="1">
      <c r="A131" s="18">
        <v>45898.09853800926</v>
      </c>
      <c r="B131" s="19" t="s">
        <v>573</v>
      </c>
      <c r="C131" s="19" t="s">
        <v>574</v>
      </c>
      <c r="D131" s="19" t="s">
        <v>26</v>
      </c>
      <c r="E131" s="19" t="s">
        <v>1547</v>
      </c>
      <c r="F131" s="19">
        <v>35.0</v>
      </c>
      <c r="G131" s="19">
        <v>44.0</v>
      </c>
      <c r="H131" s="19">
        <v>56.0</v>
      </c>
      <c r="I131" s="19" t="s">
        <v>101</v>
      </c>
      <c r="J131" s="19">
        <v>94.0</v>
      </c>
      <c r="K131" s="22" t="s">
        <v>674</v>
      </c>
      <c r="L131" s="22">
        <v>60.0</v>
      </c>
      <c r="M131" s="22" t="s">
        <v>313</v>
      </c>
      <c r="N131" s="22" t="s">
        <v>985</v>
      </c>
    </row>
    <row r="132" ht="22.5" customHeight="1">
      <c r="A132" s="18">
        <v>45898.10107980324</v>
      </c>
      <c r="B132" s="19" t="s">
        <v>1582</v>
      </c>
      <c r="C132" s="19" t="s">
        <v>1583</v>
      </c>
      <c r="D132" s="19" t="s">
        <v>1500</v>
      </c>
      <c r="E132" s="19" t="s">
        <v>1585</v>
      </c>
      <c r="F132" s="19">
        <v>34.0</v>
      </c>
      <c r="G132" s="19">
        <v>48.0</v>
      </c>
      <c r="H132" s="19">
        <v>66.0</v>
      </c>
      <c r="I132" s="19" t="s">
        <v>715</v>
      </c>
      <c r="J132" s="19">
        <v>97.0</v>
      </c>
      <c r="K132" s="22" t="s">
        <v>674</v>
      </c>
      <c r="L132" s="22">
        <v>46.0</v>
      </c>
      <c r="M132" s="22" t="s">
        <v>164</v>
      </c>
      <c r="N132" s="22" t="s">
        <v>208</v>
      </c>
    </row>
    <row r="133" ht="22.5" customHeight="1">
      <c r="A133" s="18">
        <v>45898.741032962964</v>
      </c>
      <c r="B133" s="19" t="s">
        <v>226</v>
      </c>
      <c r="C133" s="19" t="s">
        <v>561</v>
      </c>
      <c r="D133" s="19" t="s">
        <v>562</v>
      </c>
      <c r="E133" s="19" t="s">
        <v>1586</v>
      </c>
      <c r="F133" s="19">
        <v>23.0</v>
      </c>
      <c r="G133" s="19">
        <v>68.0</v>
      </c>
      <c r="H133" s="19">
        <v>57.0</v>
      </c>
      <c r="I133" s="19" t="s">
        <v>438</v>
      </c>
      <c r="J133" s="19">
        <v>82.0</v>
      </c>
      <c r="K133" s="22" t="s">
        <v>674</v>
      </c>
      <c r="L133" s="22">
        <v>62.0</v>
      </c>
      <c r="M133" s="22" t="s">
        <v>313</v>
      </c>
      <c r="N133" s="22" t="s">
        <v>985</v>
      </c>
    </row>
    <row r="134" ht="22.5" customHeight="1">
      <c r="A134" s="18">
        <v>45898.744689733794</v>
      </c>
      <c r="B134" s="19" t="s">
        <v>300</v>
      </c>
      <c r="C134" s="19" t="s">
        <v>1588</v>
      </c>
      <c r="D134" s="19" t="s">
        <v>681</v>
      </c>
      <c r="E134" s="19" t="s">
        <v>1586</v>
      </c>
      <c r="F134" s="19">
        <v>19.0</v>
      </c>
      <c r="G134" s="19">
        <v>69.0</v>
      </c>
      <c r="H134" s="19">
        <v>59.0</v>
      </c>
      <c r="I134" s="19" t="s">
        <v>101</v>
      </c>
      <c r="J134" s="19">
        <v>97.0</v>
      </c>
      <c r="K134" s="22" t="s">
        <v>674</v>
      </c>
      <c r="L134" s="22">
        <v>56.00000000000001</v>
      </c>
      <c r="M134" s="22" t="s">
        <v>313</v>
      </c>
      <c r="N134" s="22" t="s">
        <v>985</v>
      </c>
    </row>
    <row r="135" ht="22.5" customHeight="1">
      <c r="A135" s="18">
        <v>45898.83079024305</v>
      </c>
      <c r="B135" s="19" t="s">
        <v>1589</v>
      </c>
      <c r="C135" s="19" t="s">
        <v>1590</v>
      </c>
      <c r="D135" s="19" t="s">
        <v>1591</v>
      </c>
      <c r="E135" s="19" t="s">
        <v>1592</v>
      </c>
      <c r="F135" s="19">
        <v>33.0</v>
      </c>
      <c r="G135" s="19">
        <v>45.0</v>
      </c>
      <c r="H135" s="19">
        <v>59.0</v>
      </c>
      <c r="I135" s="19" t="s">
        <v>370</v>
      </c>
      <c r="J135" s="19">
        <v>90.0</v>
      </c>
      <c r="K135" s="22" t="s">
        <v>674</v>
      </c>
      <c r="L135" s="22">
        <v>70.0</v>
      </c>
      <c r="M135" s="22" t="s">
        <v>374</v>
      </c>
      <c r="N135" s="22" t="s">
        <v>1005</v>
      </c>
    </row>
    <row r="136" ht="22.5" customHeight="1">
      <c r="A136" s="18">
        <v>45898.84121820602</v>
      </c>
      <c r="B136" s="19" t="s">
        <v>573</v>
      </c>
      <c r="C136" s="19" t="s">
        <v>574</v>
      </c>
      <c r="D136" s="19" t="s">
        <v>26</v>
      </c>
      <c r="E136" s="19" t="s">
        <v>1547</v>
      </c>
      <c r="F136" s="19">
        <v>33.0</v>
      </c>
      <c r="G136" s="19">
        <v>44.0</v>
      </c>
      <c r="H136" s="19">
        <v>66.0</v>
      </c>
      <c r="I136" s="19" t="s">
        <v>370</v>
      </c>
      <c r="J136" s="19">
        <v>93.0</v>
      </c>
      <c r="K136" s="22" t="s">
        <v>674</v>
      </c>
      <c r="L136" s="22">
        <v>70.0</v>
      </c>
      <c r="M136" s="22" t="s">
        <v>374</v>
      </c>
      <c r="N136" s="22" t="s">
        <v>1005</v>
      </c>
    </row>
    <row r="137" ht="22.5" customHeight="1">
      <c r="A137" s="18">
        <v>45898.91987953703</v>
      </c>
      <c r="B137" s="19" t="s">
        <v>226</v>
      </c>
      <c r="C137" s="19" t="s">
        <v>561</v>
      </c>
      <c r="D137" s="19" t="s">
        <v>647</v>
      </c>
      <c r="E137" s="19" t="s">
        <v>1596</v>
      </c>
      <c r="F137" s="19">
        <v>18.0</v>
      </c>
      <c r="G137" s="19">
        <v>32.0</v>
      </c>
      <c r="H137" s="19">
        <v>38.0</v>
      </c>
      <c r="I137" s="19" t="s">
        <v>715</v>
      </c>
      <c r="J137" s="19">
        <v>83.0</v>
      </c>
      <c r="K137" s="22" t="s">
        <v>674</v>
      </c>
      <c r="L137" s="22">
        <v>22.0</v>
      </c>
      <c r="M137" s="22" t="s">
        <v>252</v>
      </c>
      <c r="N137" s="22" t="s">
        <v>971</v>
      </c>
    </row>
    <row r="138" ht="22.5" customHeight="1">
      <c r="A138" s="18">
        <v>45901.63042318287</v>
      </c>
      <c r="B138" s="19" t="s">
        <v>1597</v>
      </c>
      <c r="C138" s="19" t="s">
        <v>1040</v>
      </c>
      <c r="D138" s="19" t="s">
        <v>26</v>
      </c>
      <c r="E138" s="19" t="s">
        <v>1598</v>
      </c>
      <c r="F138" s="19">
        <v>23.0</v>
      </c>
      <c r="G138" s="19">
        <v>45.0</v>
      </c>
      <c r="H138" s="19">
        <v>55.0</v>
      </c>
      <c r="I138" s="19" t="s">
        <v>438</v>
      </c>
      <c r="J138" s="19">
        <v>99.0</v>
      </c>
      <c r="K138" s="22" t="s">
        <v>674</v>
      </c>
      <c r="L138" s="22">
        <v>60.0</v>
      </c>
      <c r="M138" s="22" t="s">
        <v>313</v>
      </c>
      <c r="N138" s="22" t="s">
        <v>985</v>
      </c>
    </row>
    <row r="139" ht="22.5" customHeight="1">
      <c r="A139" s="18">
        <v>45901.83315349537</v>
      </c>
      <c r="B139" s="19" t="s">
        <v>573</v>
      </c>
      <c r="C139" s="19" t="s">
        <v>574</v>
      </c>
      <c r="D139" s="19" t="s">
        <v>26</v>
      </c>
      <c r="E139" s="19" t="s">
        <v>1547</v>
      </c>
      <c r="F139" s="19">
        <v>34.0</v>
      </c>
      <c r="G139" s="19">
        <v>45.0</v>
      </c>
      <c r="H139" s="19">
        <v>59.0</v>
      </c>
      <c r="I139" s="19" t="s">
        <v>438</v>
      </c>
      <c r="J139" s="19">
        <v>93.0</v>
      </c>
      <c r="K139" s="22" t="s">
        <v>674</v>
      </c>
      <c r="L139" s="22">
        <v>64.0</v>
      </c>
      <c r="M139" s="22" t="s">
        <v>313</v>
      </c>
      <c r="N139" s="22" t="s">
        <v>985</v>
      </c>
    </row>
    <row r="140" ht="22.5" customHeight="1">
      <c r="A140" s="18">
        <v>45901.84959702546</v>
      </c>
      <c r="B140" s="19" t="s">
        <v>573</v>
      </c>
      <c r="C140" s="19" t="s">
        <v>574</v>
      </c>
      <c r="D140" s="19" t="s">
        <v>26</v>
      </c>
      <c r="E140" s="19" t="s">
        <v>939</v>
      </c>
      <c r="F140" s="19">
        <v>28.0</v>
      </c>
      <c r="G140" s="19">
        <v>37.0</v>
      </c>
      <c r="H140" s="19">
        <v>59.0</v>
      </c>
      <c r="I140" s="19" t="s">
        <v>370</v>
      </c>
      <c r="J140" s="19">
        <v>90.0</v>
      </c>
      <c r="K140" s="22" t="s">
        <v>674</v>
      </c>
      <c r="L140" s="22">
        <v>64.0</v>
      </c>
      <c r="M140" s="22" t="s">
        <v>313</v>
      </c>
      <c r="N140" s="22" t="s">
        <v>985</v>
      </c>
    </row>
    <row r="141" ht="22.5" customHeight="1">
      <c r="A141" s="18">
        <v>45901.872163796295</v>
      </c>
      <c r="B141" s="19" t="s">
        <v>573</v>
      </c>
      <c r="C141" s="19" t="s">
        <v>574</v>
      </c>
      <c r="D141" s="19" t="s">
        <v>718</v>
      </c>
      <c r="E141" s="19" t="s">
        <v>1600</v>
      </c>
      <c r="F141" s="19">
        <v>45.0</v>
      </c>
      <c r="G141" s="19">
        <v>44.0</v>
      </c>
      <c r="H141" s="19">
        <v>66.0</v>
      </c>
      <c r="I141" s="19" t="s">
        <v>370</v>
      </c>
      <c r="J141" s="19">
        <v>97.0</v>
      </c>
      <c r="K141" s="22" t="s">
        <v>674</v>
      </c>
      <c r="L141" s="22">
        <v>72.0</v>
      </c>
      <c r="M141" s="22" t="s">
        <v>374</v>
      </c>
      <c r="N141" s="22" t="s">
        <v>1005</v>
      </c>
    </row>
    <row r="142" ht="22.5" customHeight="1">
      <c r="A142" s="18">
        <v>45901.884170833335</v>
      </c>
      <c r="B142" s="19" t="s">
        <v>573</v>
      </c>
      <c r="C142" s="19" t="s">
        <v>574</v>
      </c>
      <c r="D142" s="19" t="s">
        <v>26</v>
      </c>
      <c r="E142" s="19" t="s">
        <v>1547</v>
      </c>
      <c r="F142" s="19">
        <v>33.0</v>
      </c>
      <c r="G142" s="19">
        <v>44.0</v>
      </c>
      <c r="H142" s="19">
        <v>56.0</v>
      </c>
      <c r="I142" s="19" t="s">
        <v>370</v>
      </c>
      <c r="J142" s="19">
        <v>99.0</v>
      </c>
      <c r="K142" s="22" t="s">
        <v>674</v>
      </c>
      <c r="L142" s="22">
        <v>70.0</v>
      </c>
      <c r="M142" s="22" t="s">
        <v>374</v>
      </c>
      <c r="N142" s="22" t="s">
        <v>1005</v>
      </c>
    </row>
    <row r="143" ht="22.5" customHeight="1">
      <c r="A143" s="18">
        <v>45901.89100912037</v>
      </c>
      <c r="B143" s="19" t="s">
        <v>1164</v>
      </c>
      <c r="C143" s="19" t="s">
        <v>1602</v>
      </c>
      <c r="D143" s="19" t="s">
        <v>1603</v>
      </c>
      <c r="E143" s="19" t="s">
        <v>1604</v>
      </c>
      <c r="F143" s="19">
        <v>33.0</v>
      </c>
      <c r="G143" s="19">
        <v>43.0</v>
      </c>
      <c r="H143" s="19">
        <v>62.0</v>
      </c>
      <c r="I143" s="19" t="s">
        <v>101</v>
      </c>
      <c r="J143" s="19">
        <v>89.0</v>
      </c>
      <c r="K143" s="22" t="s">
        <v>674</v>
      </c>
      <c r="L143" s="22">
        <v>56.00000000000001</v>
      </c>
      <c r="M143" s="22" t="s">
        <v>313</v>
      </c>
      <c r="N143" s="22" t="s">
        <v>985</v>
      </c>
    </row>
    <row r="144" ht="22.5" customHeight="1">
      <c r="A144" s="18">
        <v>45901.89612150463</v>
      </c>
      <c r="B144" s="19" t="s">
        <v>1605</v>
      </c>
      <c r="C144" s="19" t="s">
        <v>1606</v>
      </c>
      <c r="D144" s="19" t="s">
        <v>1603</v>
      </c>
      <c r="E144" s="19" t="s">
        <v>1607</v>
      </c>
      <c r="F144" s="19">
        <v>37.0</v>
      </c>
      <c r="G144" s="19">
        <v>45.0</v>
      </c>
      <c r="H144" s="19">
        <v>66.0</v>
      </c>
      <c r="I144" s="19" t="s">
        <v>370</v>
      </c>
      <c r="J144" s="19">
        <v>101.0</v>
      </c>
      <c r="K144" s="22" t="s">
        <v>674</v>
      </c>
      <c r="L144" s="22">
        <v>72.0</v>
      </c>
      <c r="M144" s="22" t="s">
        <v>374</v>
      </c>
      <c r="N144" s="22" t="s">
        <v>1005</v>
      </c>
    </row>
    <row r="145" ht="22.5" customHeight="1">
      <c r="A145" s="18">
        <v>45901.90537288194</v>
      </c>
      <c r="B145" s="19" t="s">
        <v>1609</v>
      </c>
      <c r="C145" s="19" t="s">
        <v>1610</v>
      </c>
      <c r="D145" s="19" t="s">
        <v>1603</v>
      </c>
      <c r="E145" s="19" t="s">
        <v>1611</v>
      </c>
      <c r="F145" s="19">
        <v>26.0</v>
      </c>
      <c r="G145" s="19">
        <v>39.0</v>
      </c>
      <c r="H145" s="19">
        <v>62.0</v>
      </c>
      <c r="I145" s="19" t="s">
        <v>438</v>
      </c>
      <c r="J145" s="19">
        <v>97.0</v>
      </c>
      <c r="K145" s="22" t="s">
        <v>674</v>
      </c>
      <c r="L145" s="22">
        <v>57.99999999999999</v>
      </c>
      <c r="M145" s="22" t="s">
        <v>313</v>
      </c>
      <c r="N145" s="22" t="s">
        <v>985</v>
      </c>
    </row>
    <row r="146" ht="22.5" customHeight="1">
      <c r="A146" s="18">
        <v>45901.91205503472</v>
      </c>
      <c r="B146" s="19" t="s">
        <v>226</v>
      </c>
      <c r="C146" s="19" t="s">
        <v>561</v>
      </c>
      <c r="D146" s="19" t="s">
        <v>562</v>
      </c>
      <c r="E146" s="19" t="s">
        <v>1612</v>
      </c>
      <c r="F146" s="19">
        <v>34.0</v>
      </c>
      <c r="G146" s="19">
        <v>44.0</v>
      </c>
      <c r="H146" s="19">
        <v>65.0</v>
      </c>
      <c r="I146" s="19" t="s">
        <v>370</v>
      </c>
      <c r="J146" s="19">
        <v>99.0</v>
      </c>
      <c r="K146" s="22" t="s">
        <v>674</v>
      </c>
      <c r="L146" s="22">
        <v>70.0</v>
      </c>
      <c r="M146" s="22" t="s">
        <v>374</v>
      </c>
      <c r="N146" s="22" t="s">
        <v>1005</v>
      </c>
    </row>
    <row r="147" ht="22.5" customHeight="1">
      <c r="A147" s="50"/>
      <c r="B147" s="50"/>
      <c r="C147" s="50"/>
      <c r="D147" s="50"/>
      <c r="E147" s="50"/>
      <c r="F147" s="50"/>
      <c r="G147" s="50"/>
      <c r="H147" s="50"/>
      <c r="I147" s="50"/>
      <c r="J147" s="50"/>
      <c r="K147" s="22" t="s">
        <v>674</v>
      </c>
      <c r="L147" s="50" t="s">
        <v>674</v>
      </c>
      <c r="M147" s="50" t="s">
        <v>674</v>
      </c>
      <c r="N147" s="50" t="s">
        <v>674</v>
      </c>
    </row>
    <row r="148" ht="22.5" customHeight="1">
      <c r="A148" s="50"/>
      <c r="B148" s="50"/>
      <c r="C148" s="50"/>
      <c r="D148" s="50"/>
      <c r="E148" s="50"/>
      <c r="F148" s="50"/>
      <c r="G148" s="50"/>
      <c r="H148" s="50"/>
      <c r="I148" s="50"/>
      <c r="J148" s="50"/>
      <c r="K148" s="22" t="s">
        <v>674</v>
      </c>
      <c r="L148" s="50" t="s">
        <v>674</v>
      </c>
      <c r="M148" s="50" t="s">
        <v>674</v>
      </c>
      <c r="N148" s="50" t="s">
        <v>674</v>
      </c>
    </row>
    <row r="149" ht="22.5" customHeight="1">
      <c r="A149" s="50"/>
      <c r="B149" s="50"/>
      <c r="C149" s="50"/>
      <c r="D149" s="50"/>
      <c r="E149" s="50"/>
      <c r="F149" s="50"/>
      <c r="G149" s="50"/>
      <c r="H149" s="50"/>
      <c r="I149" s="50"/>
      <c r="J149" s="50"/>
      <c r="K149" s="22" t="s">
        <v>674</v>
      </c>
      <c r="L149" s="50" t="s">
        <v>674</v>
      </c>
      <c r="M149" s="50" t="s">
        <v>674</v>
      </c>
      <c r="N149" s="50" t="s">
        <v>674</v>
      </c>
    </row>
    <row r="150" ht="22.5" customHeight="1">
      <c r="A150" s="50"/>
      <c r="B150" s="50"/>
      <c r="C150" s="50"/>
      <c r="D150" s="50"/>
      <c r="E150" s="50"/>
      <c r="F150" s="50"/>
      <c r="G150" s="50"/>
      <c r="H150" s="50"/>
      <c r="I150" s="50"/>
      <c r="J150" s="50"/>
      <c r="K150" s="22" t="s">
        <v>674</v>
      </c>
      <c r="L150" s="50" t="s">
        <v>674</v>
      </c>
      <c r="M150" s="50" t="s">
        <v>674</v>
      </c>
      <c r="N150" s="50" t="s">
        <v>674</v>
      </c>
    </row>
    <row r="151" ht="22.5" customHeight="1">
      <c r="A151" s="50"/>
      <c r="B151" s="50"/>
      <c r="C151" s="50"/>
      <c r="D151" s="50"/>
      <c r="E151" s="50"/>
      <c r="F151" s="50"/>
      <c r="G151" s="50"/>
      <c r="H151" s="50"/>
      <c r="I151" s="50"/>
      <c r="J151" s="50"/>
      <c r="K151" s="22" t="s">
        <v>674</v>
      </c>
      <c r="L151" s="50" t="s">
        <v>674</v>
      </c>
      <c r="M151" s="50" t="s">
        <v>674</v>
      </c>
      <c r="N151" s="50" t="s">
        <v>674</v>
      </c>
    </row>
    <row r="152" ht="22.5" customHeight="1">
      <c r="A152" s="50"/>
      <c r="B152" s="50"/>
      <c r="C152" s="50"/>
      <c r="D152" s="50"/>
      <c r="E152" s="50"/>
      <c r="F152" s="50"/>
      <c r="G152" s="50"/>
      <c r="H152" s="50"/>
      <c r="I152" s="50"/>
      <c r="J152" s="50"/>
      <c r="K152" s="22" t="s">
        <v>674</v>
      </c>
      <c r="L152" s="50" t="s">
        <v>674</v>
      </c>
      <c r="M152" s="50" t="s">
        <v>674</v>
      </c>
      <c r="N152" s="50" t="s">
        <v>674</v>
      </c>
    </row>
    <row r="153" ht="22.5" customHeight="1">
      <c r="A153" s="50"/>
      <c r="B153" s="50"/>
      <c r="C153" s="50"/>
      <c r="D153" s="50"/>
      <c r="E153" s="50"/>
      <c r="F153" s="50"/>
      <c r="G153" s="50"/>
      <c r="H153" s="50"/>
      <c r="I153" s="50"/>
      <c r="J153" s="50"/>
      <c r="K153" s="22" t="s">
        <v>674</v>
      </c>
      <c r="L153" s="50" t="s">
        <v>674</v>
      </c>
      <c r="M153" s="50" t="s">
        <v>674</v>
      </c>
      <c r="N153" s="50" t="s">
        <v>674</v>
      </c>
    </row>
    <row r="154" ht="22.5" customHeight="1">
      <c r="A154" s="50"/>
      <c r="B154" s="50"/>
      <c r="C154" s="50"/>
      <c r="D154" s="50"/>
      <c r="E154" s="50"/>
      <c r="F154" s="50"/>
      <c r="G154" s="50"/>
      <c r="H154" s="50"/>
      <c r="I154" s="50"/>
      <c r="J154" s="50"/>
      <c r="K154" s="22" t="s">
        <v>674</v>
      </c>
      <c r="L154" s="50" t="s">
        <v>674</v>
      </c>
      <c r="M154" s="50" t="s">
        <v>674</v>
      </c>
      <c r="N154" s="50" t="s">
        <v>674</v>
      </c>
    </row>
    <row r="155" ht="22.5" customHeight="1">
      <c r="A155" s="50"/>
      <c r="B155" s="50"/>
      <c r="C155" s="50"/>
      <c r="D155" s="50"/>
      <c r="E155" s="50"/>
      <c r="F155" s="50"/>
      <c r="G155" s="50"/>
      <c r="H155" s="50"/>
      <c r="I155" s="50"/>
      <c r="J155" s="50"/>
      <c r="K155" s="22" t="s">
        <v>674</v>
      </c>
      <c r="L155" s="50" t="s">
        <v>674</v>
      </c>
      <c r="M155" s="50" t="s">
        <v>674</v>
      </c>
      <c r="N155" s="50" t="s">
        <v>674</v>
      </c>
    </row>
    <row r="156" ht="22.5" customHeight="1">
      <c r="A156" s="50"/>
      <c r="B156" s="50"/>
      <c r="C156" s="50"/>
      <c r="D156" s="50"/>
      <c r="E156" s="50"/>
      <c r="F156" s="50"/>
      <c r="G156" s="50"/>
      <c r="H156" s="50"/>
      <c r="I156" s="50"/>
      <c r="J156" s="50"/>
      <c r="K156" s="22" t="s">
        <v>674</v>
      </c>
      <c r="L156" s="50" t="s">
        <v>674</v>
      </c>
      <c r="M156" s="50" t="s">
        <v>674</v>
      </c>
      <c r="N156" s="50" t="s">
        <v>674</v>
      </c>
    </row>
    <row r="157" ht="22.5" customHeight="1">
      <c r="A157" s="50"/>
      <c r="B157" s="50"/>
      <c r="C157" s="50"/>
      <c r="D157" s="50"/>
      <c r="E157" s="50"/>
      <c r="F157" s="50"/>
      <c r="G157" s="50"/>
      <c r="H157" s="50"/>
      <c r="I157" s="50"/>
      <c r="J157" s="50"/>
      <c r="K157" s="22" t="s">
        <v>674</v>
      </c>
      <c r="L157" s="50" t="s">
        <v>674</v>
      </c>
      <c r="M157" s="50" t="s">
        <v>674</v>
      </c>
      <c r="N157" s="50" t="s">
        <v>674</v>
      </c>
    </row>
    <row r="158" ht="22.5" customHeight="1">
      <c r="A158" s="50"/>
      <c r="B158" s="50"/>
      <c r="C158" s="50"/>
      <c r="D158" s="50"/>
      <c r="E158" s="50"/>
      <c r="F158" s="50"/>
      <c r="G158" s="50"/>
      <c r="H158" s="50"/>
      <c r="I158" s="50"/>
      <c r="J158" s="50"/>
      <c r="K158" s="22" t="s">
        <v>674</v>
      </c>
      <c r="L158" s="50" t="s">
        <v>674</v>
      </c>
      <c r="M158" s="50" t="s">
        <v>674</v>
      </c>
      <c r="N158" s="50" t="s">
        <v>674</v>
      </c>
    </row>
    <row r="159" ht="22.5" customHeight="1">
      <c r="A159" s="50"/>
      <c r="B159" s="50"/>
      <c r="C159" s="50"/>
      <c r="D159" s="50"/>
      <c r="E159" s="50"/>
      <c r="F159" s="50"/>
      <c r="G159" s="50"/>
      <c r="H159" s="50"/>
      <c r="I159" s="50"/>
      <c r="J159" s="50"/>
      <c r="K159" s="22" t="s">
        <v>674</v>
      </c>
      <c r="L159" s="50" t="s">
        <v>674</v>
      </c>
      <c r="M159" s="50" t="s">
        <v>674</v>
      </c>
      <c r="N159" s="50" t="s">
        <v>674</v>
      </c>
    </row>
    <row r="160" ht="22.5" customHeight="1">
      <c r="A160" s="50"/>
      <c r="B160" s="50"/>
      <c r="C160" s="50"/>
      <c r="D160" s="50"/>
      <c r="E160" s="50"/>
      <c r="F160" s="50"/>
      <c r="G160" s="50"/>
      <c r="H160" s="50"/>
      <c r="I160" s="50"/>
      <c r="J160" s="50"/>
      <c r="K160" s="22" t="s">
        <v>674</v>
      </c>
      <c r="L160" s="50" t="s">
        <v>674</v>
      </c>
      <c r="M160" s="50" t="s">
        <v>674</v>
      </c>
      <c r="N160" s="50" t="s">
        <v>674</v>
      </c>
    </row>
    <row r="161" ht="22.5" customHeight="1">
      <c r="A161" s="50"/>
      <c r="B161" s="50"/>
      <c r="C161" s="50"/>
      <c r="D161" s="50"/>
      <c r="E161" s="50"/>
      <c r="F161" s="50"/>
      <c r="G161" s="50"/>
      <c r="H161" s="50"/>
      <c r="I161" s="50"/>
      <c r="J161" s="50"/>
      <c r="K161" s="22" t="s">
        <v>674</v>
      </c>
      <c r="L161" s="50" t="s">
        <v>674</v>
      </c>
      <c r="M161" s="50" t="s">
        <v>674</v>
      </c>
      <c r="N161" s="50" t="s">
        <v>674</v>
      </c>
    </row>
    <row r="162" ht="22.5" customHeight="1">
      <c r="A162" s="50"/>
      <c r="B162" s="50"/>
      <c r="C162" s="50"/>
      <c r="D162" s="50"/>
      <c r="E162" s="50"/>
      <c r="F162" s="50"/>
      <c r="G162" s="50"/>
      <c r="H162" s="50"/>
      <c r="I162" s="50"/>
      <c r="J162" s="50"/>
      <c r="K162" s="22" t="s">
        <v>674</v>
      </c>
      <c r="L162" s="50" t="s">
        <v>674</v>
      </c>
      <c r="M162" s="50" t="s">
        <v>674</v>
      </c>
      <c r="N162" s="50" t="s">
        <v>674</v>
      </c>
    </row>
    <row r="163" ht="22.5" customHeight="1">
      <c r="A163" s="50"/>
      <c r="B163" s="50"/>
      <c r="C163" s="50"/>
      <c r="D163" s="50"/>
      <c r="E163" s="50"/>
      <c r="F163" s="50"/>
      <c r="G163" s="50"/>
      <c r="H163" s="50"/>
      <c r="I163" s="50"/>
      <c r="J163" s="50"/>
      <c r="K163" s="22" t="s">
        <v>674</v>
      </c>
      <c r="L163" s="50" t="s">
        <v>674</v>
      </c>
      <c r="M163" s="50" t="s">
        <v>674</v>
      </c>
      <c r="N163" s="50" t="s">
        <v>674</v>
      </c>
    </row>
    <row r="164" ht="22.5" customHeight="1">
      <c r="A164" s="50"/>
      <c r="B164" s="50"/>
      <c r="C164" s="50"/>
      <c r="D164" s="50"/>
      <c r="E164" s="50"/>
      <c r="F164" s="50"/>
      <c r="G164" s="50"/>
      <c r="H164" s="50"/>
      <c r="I164" s="50"/>
      <c r="J164" s="50"/>
      <c r="K164" s="22" t="s">
        <v>674</v>
      </c>
      <c r="L164" s="50" t="s">
        <v>674</v>
      </c>
      <c r="M164" s="50" t="s">
        <v>674</v>
      </c>
      <c r="N164" s="50" t="s">
        <v>674</v>
      </c>
    </row>
    <row r="165" ht="22.5" customHeight="1">
      <c r="A165" s="50"/>
      <c r="B165" s="50"/>
      <c r="C165" s="50"/>
      <c r="D165" s="50"/>
      <c r="E165" s="50"/>
      <c r="F165" s="50"/>
      <c r="G165" s="50"/>
      <c r="H165" s="50"/>
      <c r="I165" s="50"/>
      <c r="J165" s="50"/>
      <c r="K165" s="22" t="s">
        <v>674</v>
      </c>
      <c r="L165" s="50" t="s">
        <v>674</v>
      </c>
      <c r="M165" s="50" t="s">
        <v>674</v>
      </c>
      <c r="N165" s="50" t="s">
        <v>674</v>
      </c>
    </row>
    <row r="166" ht="22.5" customHeight="1">
      <c r="A166" s="50"/>
      <c r="B166" s="50"/>
      <c r="C166" s="50"/>
      <c r="D166" s="50"/>
      <c r="E166" s="50"/>
      <c r="F166" s="50"/>
      <c r="G166" s="50"/>
      <c r="H166" s="50"/>
      <c r="I166" s="50"/>
      <c r="J166" s="50"/>
      <c r="K166" s="22" t="s">
        <v>674</v>
      </c>
      <c r="L166" s="50" t="s">
        <v>674</v>
      </c>
      <c r="M166" s="50" t="s">
        <v>674</v>
      </c>
      <c r="N166" s="50" t="s">
        <v>674</v>
      </c>
    </row>
    <row r="167" ht="22.5" customHeight="1">
      <c r="A167" s="50"/>
      <c r="B167" s="50"/>
      <c r="C167" s="50"/>
      <c r="D167" s="50"/>
      <c r="E167" s="50"/>
      <c r="F167" s="50"/>
      <c r="G167" s="50"/>
      <c r="H167" s="50"/>
      <c r="I167" s="50"/>
      <c r="J167" s="50"/>
      <c r="K167" s="22" t="s">
        <v>674</v>
      </c>
      <c r="L167" s="50" t="s">
        <v>674</v>
      </c>
      <c r="M167" s="50" t="s">
        <v>674</v>
      </c>
      <c r="N167" s="50" t="s">
        <v>674</v>
      </c>
    </row>
    <row r="168" ht="22.5" customHeight="1">
      <c r="A168" s="50"/>
      <c r="B168" s="50"/>
      <c r="C168" s="50"/>
      <c r="D168" s="50"/>
      <c r="E168" s="50"/>
      <c r="F168" s="50"/>
      <c r="G168" s="50"/>
      <c r="H168" s="50"/>
      <c r="I168" s="50"/>
      <c r="J168" s="50"/>
      <c r="K168" s="22" t="s">
        <v>674</v>
      </c>
      <c r="L168" s="50" t="s">
        <v>674</v>
      </c>
      <c r="M168" s="50" t="s">
        <v>674</v>
      </c>
      <c r="N168" s="50" t="s">
        <v>674</v>
      </c>
    </row>
    <row r="169" ht="22.5" customHeight="1">
      <c r="A169" s="50"/>
      <c r="B169" s="50"/>
      <c r="C169" s="50"/>
      <c r="D169" s="50"/>
      <c r="E169" s="50"/>
      <c r="F169" s="50"/>
      <c r="G169" s="50"/>
      <c r="H169" s="50"/>
      <c r="I169" s="50"/>
      <c r="J169" s="50"/>
      <c r="K169" s="22" t="s">
        <v>674</v>
      </c>
      <c r="L169" s="50" t="s">
        <v>674</v>
      </c>
      <c r="M169" s="50" t="s">
        <v>674</v>
      </c>
      <c r="N169" s="50" t="s">
        <v>674</v>
      </c>
    </row>
    <row r="170" ht="22.5" customHeight="1">
      <c r="A170" s="50"/>
      <c r="B170" s="50"/>
      <c r="C170" s="50"/>
      <c r="D170" s="50"/>
      <c r="E170" s="50"/>
      <c r="F170" s="50"/>
      <c r="G170" s="50"/>
      <c r="H170" s="50"/>
      <c r="I170" s="50"/>
      <c r="J170" s="50"/>
      <c r="K170" s="22" t="s">
        <v>674</v>
      </c>
      <c r="L170" s="50" t="s">
        <v>674</v>
      </c>
      <c r="M170" s="50" t="s">
        <v>674</v>
      </c>
      <c r="N170" s="50" t="s">
        <v>674</v>
      </c>
    </row>
    <row r="171" ht="22.5" customHeight="1">
      <c r="A171" s="50"/>
      <c r="B171" s="50"/>
      <c r="C171" s="50"/>
      <c r="D171" s="50"/>
      <c r="E171" s="50"/>
      <c r="F171" s="50"/>
      <c r="G171" s="50"/>
      <c r="H171" s="50"/>
      <c r="I171" s="50"/>
      <c r="J171" s="50"/>
      <c r="K171" s="22" t="s">
        <v>674</v>
      </c>
      <c r="L171" s="50" t="s">
        <v>674</v>
      </c>
      <c r="M171" s="50" t="s">
        <v>674</v>
      </c>
      <c r="N171" s="50" t="s">
        <v>674</v>
      </c>
    </row>
    <row r="172" ht="22.5" customHeight="1">
      <c r="A172" s="50"/>
      <c r="B172" s="50"/>
      <c r="C172" s="50"/>
      <c r="D172" s="50"/>
      <c r="E172" s="50"/>
      <c r="F172" s="50"/>
      <c r="G172" s="50"/>
      <c r="H172" s="50"/>
      <c r="I172" s="50"/>
      <c r="J172" s="50"/>
      <c r="K172" s="22" t="s">
        <v>674</v>
      </c>
      <c r="L172" s="50" t="s">
        <v>674</v>
      </c>
      <c r="M172" s="50" t="s">
        <v>674</v>
      </c>
      <c r="N172" s="50" t="s">
        <v>674</v>
      </c>
    </row>
    <row r="173" ht="22.5" customHeight="1">
      <c r="A173" s="50"/>
      <c r="B173" s="50"/>
      <c r="C173" s="50"/>
      <c r="D173" s="50"/>
      <c r="E173" s="50"/>
      <c r="F173" s="50"/>
      <c r="G173" s="50"/>
      <c r="H173" s="50"/>
      <c r="I173" s="50"/>
      <c r="J173" s="50"/>
      <c r="K173" s="22" t="s">
        <v>674</v>
      </c>
      <c r="L173" s="50" t="s">
        <v>674</v>
      </c>
      <c r="M173" s="50" t="s">
        <v>674</v>
      </c>
      <c r="N173" s="50" t="s">
        <v>674</v>
      </c>
    </row>
    <row r="174" ht="22.5" customHeight="1">
      <c r="A174" s="50"/>
      <c r="B174" s="50"/>
      <c r="C174" s="50"/>
      <c r="D174" s="50"/>
      <c r="E174" s="50"/>
      <c r="F174" s="50"/>
      <c r="G174" s="50"/>
      <c r="H174" s="50"/>
      <c r="I174" s="50"/>
      <c r="J174" s="50"/>
      <c r="K174" s="22" t="s">
        <v>674</v>
      </c>
      <c r="L174" s="50" t="s">
        <v>674</v>
      </c>
      <c r="M174" s="50" t="s">
        <v>674</v>
      </c>
      <c r="N174" s="50" t="s">
        <v>674</v>
      </c>
    </row>
    <row r="175" ht="22.5" customHeight="1">
      <c r="A175" s="50"/>
      <c r="B175" s="50"/>
      <c r="C175" s="50"/>
      <c r="D175" s="50"/>
      <c r="E175" s="50"/>
      <c r="F175" s="50"/>
      <c r="G175" s="50"/>
      <c r="H175" s="50"/>
      <c r="I175" s="50"/>
      <c r="J175" s="50"/>
      <c r="K175" s="22" t="s">
        <v>674</v>
      </c>
      <c r="L175" s="50" t="s">
        <v>674</v>
      </c>
      <c r="M175" s="50" t="s">
        <v>674</v>
      </c>
      <c r="N175" s="50" t="s">
        <v>674</v>
      </c>
    </row>
    <row r="176" ht="22.5" customHeight="1">
      <c r="A176" s="50"/>
      <c r="B176" s="50"/>
      <c r="C176" s="50"/>
      <c r="D176" s="50"/>
      <c r="E176" s="50"/>
      <c r="F176" s="50"/>
      <c r="G176" s="50"/>
      <c r="H176" s="50"/>
      <c r="I176" s="50"/>
      <c r="J176" s="50"/>
      <c r="K176" s="22" t="s">
        <v>674</v>
      </c>
      <c r="L176" s="50" t="s">
        <v>674</v>
      </c>
      <c r="M176" s="50" t="s">
        <v>674</v>
      </c>
      <c r="N176" s="50" t="s">
        <v>674</v>
      </c>
    </row>
    <row r="177" ht="22.5" customHeight="1">
      <c r="A177" s="50"/>
      <c r="B177" s="50"/>
      <c r="C177" s="50"/>
      <c r="D177" s="50"/>
      <c r="E177" s="50"/>
      <c r="F177" s="50"/>
      <c r="G177" s="50"/>
      <c r="H177" s="50"/>
      <c r="I177" s="50"/>
      <c r="J177" s="50"/>
      <c r="K177" s="22" t="s">
        <v>674</v>
      </c>
      <c r="L177" s="50" t="s">
        <v>674</v>
      </c>
      <c r="M177" s="50" t="s">
        <v>674</v>
      </c>
      <c r="N177" s="50" t="s">
        <v>674</v>
      </c>
    </row>
    <row r="178" ht="22.5" customHeight="1">
      <c r="A178" s="50"/>
      <c r="B178" s="50"/>
      <c r="C178" s="50"/>
      <c r="D178" s="50"/>
      <c r="E178" s="50"/>
      <c r="F178" s="50"/>
      <c r="G178" s="50"/>
      <c r="H178" s="50"/>
      <c r="I178" s="50"/>
      <c r="J178" s="50"/>
      <c r="K178" s="22" t="s">
        <v>674</v>
      </c>
      <c r="L178" s="50" t="s">
        <v>674</v>
      </c>
      <c r="M178" s="50" t="s">
        <v>674</v>
      </c>
      <c r="N178" s="50" t="s">
        <v>674</v>
      </c>
    </row>
    <row r="179">
      <c r="K179" s="34" t="s">
        <v>674</v>
      </c>
      <c r="L179" s="34" t="s">
        <v>674</v>
      </c>
      <c r="M179" s="34" t="s">
        <v>674</v>
      </c>
      <c r="N179" s="34" t="s">
        <v>674</v>
      </c>
    </row>
    <row r="180">
      <c r="K180" s="34" t="s">
        <v>674</v>
      </c>
      <c r="L180" s="34" t="s">
        <v>674</v>
      </c>
      <c r="M180" s="34" t="s">
        <v>674</v>
      </c>
      <c r="N180" s="34" t="s">
        <v>674</v>
      </c>
    </row>
    <row r="181">
      <c r="K181" s="34" t="s">
        <v>674</v>
      </c>
      <c r="L181" s="34" t="s">
        <v>674</v>
      </c>
      <c r="M181" s="34" t="s">
        <v>674</v>
      </c>
      <c r="N181" s="34" t="s">
        <v>674</v>
      </c>
    </row>
    <row r="182">
      <c r="K182" s="34" t="s">
        <v>674</v>
      </c>
      <c r="L182" s="34" t="s">
        <v>674</v>
      </c>
      <c r="M182" s="34" t="s">
        <v>674</v>
      </c>
      <c r="N182" s="34" t="s">
        <v>674</v>
      </c>
    </row>
    <row r="183">
      <c r="K183" s="34" t="s">
        <v>674</v>
      </c>
      <c r="L183" s="34" t="s">
        <v>674</v>
      </c>
      <c r="M183" s="34" t="s">
        <v>674</v>
      </c>
      <c r="N183" s="34" t="s">
        <v>674</v>
      </c>
    </row>
    <row r="184">
      <c r="K184" s="34" t="s">
        <v>674</v>
      </c>
      <c r="L184" s="34" t="s">
        <v>674</v>
      </c>
      <c r="M184" s="34" t="s">
        <v>674</v>
      </c>
      <c r="N184" s="34" t="s">
        <v>674</v>
      </c>
    </row>
    <row r="185">
      <c r="K185" s="34" t="s">
        <v>674</v>
      </c>
      <c r="L185" s="34" t="s">
        <v>674</v>
      </c>
      <c r="M185" s="34" t="s">
        <v>674</v>
      </c>
      <c r="N185" s="34" t="s">
        <v>674</v>
      </c>
    </row>
    <row r="186">
      <c r="K186" s="34" t="s">
        <v>674</v>
      </c>
      <c r="L186" s="34" t="s">
        <v>674</v>
      </c>
      <c r="M186" s="34" t="s">
        <v>674</v>
      </c>
      <c r="N186" s="34" t="s">
        <v>674</v>
      </c>
    </row>
    <row r="187">
      <c r="K187" s="34" t="s">
        <v>674</v>
      </c>
      <c r="L187" s="34" t="s">
        <v>674</v>
      </c>
      <c r="M187" s="34" t="s">
        <v>674</v>
      </c>
      <c r="N187" s="34" t="s">
        <v>674</v>
      </c>
    </row>
    <row r="188">
      <c r="K188" s="34" t="s">
        <v>674</v>
      </c>
      <c r="L188" s="34" t="s">
        <v>674</v>
      </c>
      <c r="M188" s="34" t="s">
        <v>674</v>
      </c>
      <c r="N188" s="34" t="s">
        <v>674</v>
      </c>
    </row>
    <row r="189">
      <c r="K189" s="34" t="s">
        <v>674</v>
      </c>
      <c r="L189" s="34" t="s">
        <v>674</v>
      </c>
      <c r="M189" s="34" t="s">
        <v>674</v>
      </c>
      <c r="N189" s="34" t="s">
        <v>674</v>
      </c>
    </row>
    <row r="190">
      <c r="K190" s="34" t="s">
        <v>674</v>
      </c>
      <c r="L190" s="34" t="s">
        <v>674</v>
      </c>
      <c r="M190" s="34" t="s">
        <v>674</v>
      </c>
      <c r="N190" s="34" t="s">
        <v>674</v>
      </c>
    </row>
    <row r="191">
      <c r="K191" s="34" t="s">
        <v>674</v>
      </c>
      <c r="L191" s="34" t="s">
        <v>674</v>
      </c>
      <c r="M191" s="34" t="s">
        <v>674</v>
      </c>
      <c r="N191" s="34" t="s">
        <v>674</v>
      </c>
    </row>
    <row r="192">
      <c r="K192" s="34" t="s">
        <v>674</v>
      </c>
      <c r="L192" s="34" t="s">
        <v>674</v>
      </c>
      <c r="M192" s="34" t="s">
        <v>674</v>
      </c>
      <c r="N192" s="34" t="s">
        <v>674</v>
      </c>
    </row>
    <row r="193">
      <c r="K193" s="34" t="s">
        <v>674</v>
      </c>
      <c r="L193" s="34" t="s">
        <v>674</v>
      </c>
      <c r="M193" s="34" t="s">
        <v>674</v>
      </c>
      <c r="N193" s="34" t="s">
        <v>674</v>
      </c>
    </row>
    <row r="194">
      <c r="K194" s="34" t="s">
        <v>674</v>
      </c>
      <c r="L194" s="34" t="s">
        <v>674</v>
      </c>
      <c r="M194" s="34" t="s">
        <v>674</v>
      </c>
      <c r="N194" s="34" t="s">
        <v>674</v>
      </c>
    </row>
    <row r="195">
      <c r="K195" s="34" t="s">
        <v>674</v>
      </c>
      <c r="L195" s="34" t="s">
        <v>674</v>
      </c>
      <c r="M195" s="34" t="s">
        <v>674</v>
      </c>
      <c r="N195" s="34" t="s">
        <v>674</v>
      </c>
    </row>
    <row r="196">
      <c r="K196" s="34" t="s">
        <v>674</v>
      </c>
      <c r="L196" s="34" t="s">
        <v>674</v>
      </c>
      <c r="M196" s="34" t="s">
        <v>674</v>
      </c>
      <c r="N196" s="34" t="s">
        <v>674</v>
      </c>
    </row>
    <row r="197">
      <c r="K197" s="34" t="s">
        <v>674</v>
      </c>
      <c r="L197" s="34" t="s">
        <v>674</v>
      </c>
      <c r="M197" s="34" t="s">
        <v>674</v>
      </c>
      <c r="N197" s="34" t="s">
        <v>674</v>
      </c>
    </row>
    <row r="198">
      <c r="K198" s="34" t="s">
        <v>674</v>
      </c>
      <c r="L198" s="34" t="s">
        <v>674</v>
      </c>
      <c r="M198" s="34" t="s">
        <v>674</v>
      </c>
      <c r="N198" s="34" t="s">
        <v>674</v>
      </c>
    </row>
    <row r="199">
      <c r="K199" s="34" t="s">
        <v>674</v>
      </c>
      <c r="L199" s="34" t="s">
        <v>674</v>
      </c>
      <c r="M199" s="34" t="s">
        <v>674</v>
      </c>
      <c r="N199" s="34" t="s">
        <v>674</v>
      </c>
    </row>
    <row r="200">
      <c r="K200" s="34" t="s">
        <v>674</v>
      </c>
      <c r="L200" s="34" t="s">
        <v>674</v>
      </c>
      <c r="M200" s="34" t="s">
        <v>674</v>
      </c>
      <c r="N200" s="34" t="s">
        <v>674</v>
      </c>
    </row>
    <row r="201">
      <c r="K201" s="34" t="s">
        <v>674</v>
      </c>
      <c r="L201" s="34" t="s">
        <v>674</v>
      </c>
      <c r="M201" s="34" t="s">
        <v>674</v>
      </c>
      <c r="N201" s="34" t="s">
        <v>674</v>
      </c>
    </row>
    <row r="202">
      <c r="K202" s="34" t="s">
        <v>674</v>
      </c>
      <c r="L202" s="34" t="s">
        <v>674</v>
      </c>
      <c r="M202" s="34" t="s">
        <v>674</v>
      </c>
      <c r="N202" s="34" t="s">
        <v>674</v>
      </c>
    </row>
    <row r="203">
      <c r="K203" s="34" t="s">
        <v>674</v>
      </c>
      <c r="L203" s="34" t="s">
        <v>674</v>
      </c>
      <c r="M203" s="34" t="s">
        <v>674</v>
      </c>
      <c r="N203" s="34" t="s">
        <v>674</v>
      </c>
    </row>
    <row r="204">
      <c r="K204" s="34" t="s">
        <v>674</v>
      </c>
      <c r="L204" s="34" t="s">
        <v>674</v>
      </c>
      <c r="M204" s="34" t="s">
        <v>674</v>
      </c>
      <c r="N204" s="34" t="s">
        <v>674</v>
      </c>
    </row>
    <row r="205">
      <c r="K205" s="34" t="s">
        <v>674</v>
      </c>
      <c r="L205" s="34" t="s">
        <v>674</v>
      </c>
      <c r="M205" s="34" t="s">
        <v>674</v>
      </c>
      <c r="N205" s="34" t="s">
        <v>674</v>
      </c>
    </row>
    <row r="206">
      <c r="K206" s="34" t="s">
        <v>674</v>
      </c>
      <c r="L206" s="34" t="s">
        <v>674</v>
      </c>
      <c r="M206" s="34" t="s">
        <v>674</v>
      </c>
      <c r="N206" s="34" t="s">
        <v>674</v>
      </c>
    </row>
    <row r="207">
      <c r="K207" s="34" t="s">
        <v>674</v>
      </c>
      <c r="L207" s="34" t="s">
        <v>674</v>
      </c>
      <c r="M207" s="34" t="s">
        <v>674</v>
      </c>
      <c r="N207" s="34" t="s">
        <v>674</v>
      </c>
    </row>
    <row r="208">
      <c r="K208" s="34" t="s">
        <v>674</v>
      </c>
      <c r="L208" s="34" t="s">
        <v>674</v>
      </c>
      <c r="M208" s="34" t="s">
        <v>674</v>
      </c>
      <c r="N208" s="34" t="s">
        <v>674</v>
      </c>
    </row>
    <row r="209">
      <c r="K209" s="34" t="s">
        <v>674</v>
      </c>
      <c r="L209" s="34" t="s">
        <v>674</v>
      </c>
      <c r="M209" s="34" t="s">
        <v>674</v>
      </c>
      <c r="N209" s="34" t="s">
        <v>674</v>
      </c>
    </row>
    <row r="210">
      <c r="K210" s="34" t="s">
        <v>674</v>
      </c>
      <c r="L210" s="34" t="s">
        <v>674</v>
      </c>
      <c r="M210" s="34" t="s">
        <v>674</v>
      </c>
      <c r="N210" s="34" t="s">
        <v>674</v>
      </c>
    </row>
    <row r="211">
      <c r="K211" s="34" t="s">
        <v>674</v>
      </c>
      <c r="L211" s="34" t="s">
        <v>674</v>
      </c>
      <c r="M211" s="34" t="s">
        <v>674</v>
      </c>
      <c r="N211" s="34" t="s">
        <v>674</v>
      </c>
    </row>
    <row r="212">
      <c r="K212" s="34" t="s">
        <v>674</v>
      </c>
      <c r="L212" s="34" t="s">
        <v>674</v>
      </c>
      <c r="M212" s="34" t="s">
        <v>674</v>
      </c>
      <c r="N212" s="34" t="s">
        <v>674</v>
      </c>
    </row>
    <row r="213">
      <c r="K213" s="34" t="s">
        <v>674</v>
      </c>
      <c r="L213" s="34" t="s">
        <v>674</v>
      </c>
      <c r="M213" s="34" t="s">
        <v>674</v>
      </c>
      <c r="N213" s="34" t="s">
        <v>674</v>
      </c>
    </row>
    <row r="214">
      <c r="K214" s="34" t="s">
        <v>674</v>
      </c>
      <c r="L214" s="34" t="s">
        <v>674</v>
      </c>
      <c r="M214" s="34" t="s">
        <v>674</v>
      </c>
      <c r="N214" s="34" t="s">
        <v>674</v>
      </c>
    </row>
    <row r="215">
      <c r="K215" s="34" t="s">
        <v>674</v>
      </c>
      <c r="L215" s="34" t="s">
        <v>674</v>
      </c>
      <c r="M215" s="34" t="s">
        <v>674</v>
      </c>
      <c r="N215" s="34" t="s">
        <v>674</v>
      </c>
    </row>
    <row r="216">
      <c r="K216" s="34" t="s">
        <v>674</v>
      </c>
      <c r="L216" s="34" t="s">
        <v>674</v>
      </c>
      <c r="M216" s="34" t="s">
        <v>674</v>
      </c>
      <c r="N216" s="34" t="s">
        <v>674</v>
      </c>
    </row>
    <row r="217">
      <c r="K217" s="34" t="s">
        <v>674</v>
      </c>
      <c r="L217" s="34" t="s">
        <v>674</v>
      </c>
      <c r="M217" s="34" t="s">
        <v>674</v>
      </c>
      <c r="N217" s="34" t="s">
        <v>674</v>
      </c>
    </row>
    <row r="218">
      <c r="K218" s="34" t="s">
        <v>674</v>
      </c>
      <c r="L218" s="34" t="s">
        <v>674</v>
      </c>
      <c r="M218" s="34" t="s">
        <v>674</v>
      </c>
      <c r="N218" s="34" t="s">
        <v>674</v>
      </c>
    </row>
    <row r="219">
      <c r="K219" s="34" t="s">
        <v>674</v>
      </c>
      <c r="L219" s="34" t="s">
        <v>674</v>
      </c>
      <c r="M219" s="34" t="s">
        <v>674</v>
      </c>
      <c r="N219" s="34" t="s">
        <v>674</v>
      </c>
    </row>
    <row r="220">
      <c r="K220" s="34" t="s">
        <v>674</v>
      </c>
      <c r="L220" s="34" t="s">
        <v>674</v>
      </c>
      <c r="M220" s="34" t="s">
        <v>674</v>
      </c>
      <c r="N220" s="34" t="s">
        <v>674</v>
      </c>
    </row>
    <row r="221">
      <c r="K221" s="34" t="s">
        <v>674</v>
      </c>
      <c r="L221" s="34" t="s">
        <v>674</v>
      </c>
      <c r="M221" s="34" t="s">
        <v>674</v>
      </c>
      <c r="N221" s="34" t="s">
        <v>674</v>
      </c>
    </row>
    <row r="222">
      <c r="K222" s="34" t="s">
        <v>674</v>
      </c>
      <c r="L222" s="34" t="s">
        <v>674</v>
      </c>
      <c r="M222" s="34" t="s">
        <v>674</v>
      </c>
      <c r="N222" s="34" t="s">
        <v>674</v>
      </c>
    </row>
    <row r="223">
      <c r="K223" s="34" t="s">
        <v>674</v>
      </c>
      <c r="L223" s="34" t="s">
        <v>674</v>
      </c>
      <c r="M223" s="34" t="s">
        <v>674</v>
      </c>
      <c r="N223" s="34" t="s">
        <v>674</v>
      </c>
    </row>
    <row r="224">
      <c r="K224" s="34" t="s">
        <v>674</v>
      </c>
      <c r="L224" s="34" t="s">
        <v>674</v>
      </c>
      <c r="M224" s="34" t="s">
        <v>674</v>
      </c>
      <c r="N224" s="34" t="s">
        <v>674</v>
      </c>
    </row>
    <row r="225">
      <c r="K225" s="34" t="s">
        <v>674</v>
      </c>
      <c r="L225" s="34" t="s">
        <v>674</v>
      </c>
      <c r="M225" s="34" t="s">
        <v>674</v>
      </c>
      <c r="N225" s="34" t="s">
        <v>674</v>
      </c>
    </row>
    <row r="226">
      <c r="K226" s="34" t="s">
        <v>674</v>
      </c>
      <c r="L226" s="34" t="s">
        <v>674</v>
      </c>
      <c r="M226" s="34" t="s">
        <v>674</v>
      </c>
      <c r="N226" s="34" t="s">
        <v>674</v>
      </c>
    </row>
    <row r="227">
      <c r="K227" s="34" t="s">
        <v>674</v>
      </c>
      <c r="L227" s="34" t="s">
        <v>674</v>
      </c>
      <c r="M227" s="34" t="s">
        <v>674</v>
      </c>
      <c r="N227" s="34" t="s">
        <v>674</v>
      </c>
    </row>
    <row r="228">
      <c r="K228" s="34" t="s">
        <v>674</v>
      </c>
      <c r="L228" s="34" t="s">
        <v>674</v>
      </c>
      <c r="M228" s="34" t="s">
        <v>674</v>
      </c>
      <c r="N228" s="34" t="s">
        <v>674</v>
      </c>
    </row>
    <row r="229">
      <c r="K229" s="34" t="s">
        <v>674</v>
      </c>
      <c r="L229" s="34" t="s">
        <v>674</v>
      </c>
      <c r="M229" s="34" t="s">
        <v>674</v>
      </c>
      <c r="N229" s="34" t="s">
        <v>674</v>
      </c>
    </row>
    <row r="230">
      <c r="K230" s="34" t="s">
        <v>674</v>
      </c>
      <c r="L230" s="34" t="s">
        <v>674</v>
      </c>
      <c r="M230" s="34" t="s">
        <v>674</v>
      </c>
      <c r="N230" s="34" t="s">
        <v>674</v>
      </c>
    </row>
    <row r="231">
      <c r="K231" s="34" t="s">
        <v>674</v>
      </c>
      <c r="L231" s="34" t="s">
        <v>674</v>
      </c>
      <c r="M231" s="34" t="s">
        <v>674</v>
      </c>
      <c r="N231" s="34" t="s">
        <v>674</v>
      </c>
    </row>
    <row r="232">
      <c r="K232" s="34" t="s">
        <v>674</v>
      </c>
      <c r="L232" s="34" t="s">
        <v>674</v>
      </c>
      <c r="M232" s="34" t="s">
        <v>674</v>
      </c>
      <c r="N232" s="34" t="s">
        <v>674</v>
      </c>
    </row>
    <row r="233">
      <c r="K233" s="34" t="s">
        <v>674</v>
      </c>
      <c r="L233" s="34" t="s">
        <v>674</v>
      </c>
      <c r="M233" s="34" t="s">
        <v>674</v>
      </c>
      <c r="N233" s="34" t="s">
        <v>674</v>
      </c>
    </row>
    <row r="234">
      <c r="K234" s="34" t="s">
        <v>674</v>
      </c>
      <c r="L234" s="34" t="s">
        <v>674</v>
      </c>
      <c r="M234" s="34" t="s">
        <v>674</v>
      </c>
      <c r="N234" s="34" t="s">
        <v>674</v>
      </c>
    </row>
    <row r="235">
      <c r="K235" s="34" t="s">
        <v>674</v>
      </c>
      <c r="L235" s="34" t="s">
        <v>674</v>
      </c>
      <c r="M235" s="34" t="s">
        <v>674</v>
      </c>
      <c r="N235" s="34" t="s">
        <v>674</v>
      </c>
    </row>
    <row r="236">
      <c r="K236" s="34" t="s">
        <v>674</v>
      </c>
      <c r="L236" s="34" t="s">
        <v>674</v>
      </c>
      <c r="M236" s="34" t="s">
        <v>674</v>
      </c>
      <c r="N236" s="34" t="s">
        <v>674</v>
      </c>
    </row>
    <row r="237">
      <c r="K237" s="34" t="s">
        <v>674</v>
      </c>
      <c r="L237" s="34" t="s">
        <v>674</v>
      </c>
      <c r="M237" s="34" t="s">
        <v>674</v>
      </c>
      <c r="N237" s="34" t="s">
        <v>674</v>
      </c>
    </row>
    <row r="238">
      <c r="K238" s="34" t="s">
        <v>674</v>
      </c>
      <c r="L238" s="34" t="s">
        <v>674</v>
      </c>
      <c r="M238" s="34" t="s">
        <v>674</v>
      </c>
      <c r="N238" s="34" t="s">
        <v>674</v>
      </c>
    </row>
    <row r="239">
      <c r="K239" s="34" t="s">
        <v>674</v>
      </c>
      <c r="L239" s="34" t="s">
        <v>674</v>
      </c>
      <c r="M239" s="34" t="s">
        <v>674</v>
      </c>
      <c r="N239" s="34" t="s">
        <v>674</v>
      </c>
    </row>
    <row r="240">
      <c r="K240" s="34" t="s">
        <v>674</v>
      </c>
      <c r="L240" s="34" t="s">
        <v>674</v>
      </c>
      <c r="M240" s="34" t="s">
        <v>674</v>
      </c>
      <c r="N240" s="34" t="s">
        <v>674</v>
      </c>
    </row>
    <row r="241">
      <c r="K241" s="34" t="s">
        <v>674</v>
      </c>
      <c r="L241" s="34" t="s">
        <v>674</v>
      </c>
      <c r="M241" s="34" t="s">
        <v>674</v>
      </c>
      <c r="N241" s="34" t="s">
        <v>674</v>
      </c>
    </row>
    <row r="242">
      <c r="K242" s="34" t="s">
        <v>674</v>
      </c>
      <c r="L242" s="34" t="s">
        <v>674</v>
      </c>
      <c r="M242" s="34" t="s">
        <v>674</v>
      </c>
      <c r="N242" s="34" t="s">
        <v>674</v>
      </c>
    </row>
    <row r="243">
      <c r="K243" s="34" t="s">
        <v>674</v>
      </c>
      <c r="L243" s="34" t="s">
        <v>674</v>
      </c>
      <c r="M243" s="34" t="s">
        <v>674</v>
      </c>
      <c r="N243" s="34" t="s">
        <v>674</v>
      </c>
    </row>
    <row r="244">
      <c r="K244" s="34" t="s">
        <v>674</v>
      </c>
      <c r="L244" s="34" t="s">
        <v>674</v>
      </c>
      <c r="M244" s="34" t="s">
        <v>674</v>
      </c>
      <c r="N244" s="34" t="s">
        <v>674</v>
      </c>
    </row>
    <row r="245">
      <c r="K245" s="34" t="s">
        <v>674</v>
      </c>
      <c r="L245" s="34" t="s">
        <v>674</v>
      </c>
      <c r="M245" s="34" t="s">
        <v>674</v>
      </c>
      <c r="N245" s="34" t="s">
        <v>674</v>
      </c>
    </row>
    <row r="246">
      <c r="K246" s="34" t="s">
        <v>674</v>
      </c>
      <c r="L246" s="34" t="s">
        <v>674</v>
      </c>
      <c r="M246" s="34" t="s">
        <v>674</v>
      </c>
      <c r="N246" s="34" t="s">
        <v>674</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63"/>
    <col customWidth="1" min="6" max="6" width="15.5"/>
    <col customWidth="1" min="7" max="7" width="16.13"/>
    <col customWidth="1" min="8" max="8" width="14.75"/>
    <col customWidth="1" min="9" max="9" width="27.0"/>
    <col customWidth="1" min="10" max="10" width="23.13"/>
    <col customWidth="1" min="11" max="11" width="18.0"/>
    <col customWidth="1" min="12" max="12" width="19.13"/>
    <col customWidth="1" min="13" max="13" width="42.0"/>
    <col customWidth="1" min="14" max="14" width="17.0"/>
    <col customWidth="1" min="15" max="15" width="17.38"/>
    <col customWidth="1" min="16" max="16" width="16.75"/>
    <col customWidth="1" min="17" max="17" width="16.63"/>
    <col customWidth="1" min="19" max="19" width="15.63"/>
    <col customWidth="1" min="24" max="24" width="17.25"/>
    <col customWidth="1" min="26" max="26" width="11.63"/>
  </cols>
  <sheetData>
    <row r="1">
      <c r="A1" s="1" t="s">
        <v>953</v>
      </c>
      <c r="B1" s="1" t="s">
        <v>954</v>
      </c>
      <c r="C1" s="4"/>
      <c r="D1" s="1" t="s">
        <v>955</v>
      </c>
      <c r="E1" s="1" t="s">
        <v>956</v>
      </c>
      <c r="F1" s="4"/>
      <c r="G1" s="1" t="s">
        <v>955</v>
      </c>
      <c r="H1" s="1" t="s">
        <v>956</v>
      </c>
      <c r="I1" s="4"/>
      <c r="J1" s="1" t="s">
        <v>955</v>
      </c>
      <c r="K1" s="1" t="s">
        <v>956</v>
      </c>
      <c r="L1" s="4"/>
      <c r="M1" s="1" t="s">
        <v>955</v>
      </c>
      <c r="N1" s="1" t="s">
        <v>956</v>
      </c>
      <c r="O1" s="4"/>
      <c r="P1" s="1" t="s">
        <v>955</v>
      </c>
      <c r="Q1" s="1" t="s">
        <v>956</v>
      </c>
      <c r="R1" s="4"/>
      <c r="S1" s="1" t="s">
        <v>959</v>
      </c>
      <c r="T1" s="1" t="s">
        <v>960</v>
      </c>
      <c r="U1" s="4"/>
      <c r="V1" s="1" t="s">
        <v>961</v>
      </c>
      <c r="W1" s="1" t="s">
        <v>141</v>
      </c>
      <c r="X1" s="1" t="s">
        <v>962</v>
      </c>
      <c r="Y1" s="4"/>
      <c r="Z1" s="2" t="s">
        <v>963</v>
      </c>
      <c r="AA1" s="2" t="s">
        <v>964</v>
      </c>
      <c r="AB1" s="2" t="s">
        <v>966</v>
      </c>
      <c r="AC1" s="2" t="s">
        <v>967</v>
      </c>
      <c r="AD1" s="2" t="s">
        <v>968</v>
      </c>
      <c r="AE1" s="2" t="s">
        <v>969</v>
      </c>
      <c r="AF1" s="2" t="s">
        <v>73</v>
      </c>
      <c r="AG1" s="2" t="s">
        <v>76</v>
      </c>
      <c r="AH1" s="2" t="s">
        <v>78</v>
      </c>
    </row>
    <row r="2">
      <c r="A2" s="3" t="s">
        <v>970</v>
      </c>
      <c r="B2" s="3">
        <v>0.0</v>
      </c>
      <c r="D2" s="3">
        <v>0.0</v>
      </c>
      <c r="E2" s="3" t="s">
        <v>970</v>
      </c>
      <c r="G2" s="3">
        <v>0.0</v>
      </c>
      <c r="H2" s="3" t="s">
        <v>970</v>
      </c>
      <c r="J2" s="3">
        <v>0.0</v>
      </c>
      <c r="K2" s="3" t="s">
        <v>970</v>
      </c>
      <c r="M2" s="3" t="s">
        <v>385</v>
      </c>
      <c r="N2" s="3" t="s">
        <v>970</v>
      </c>
      <c r="P2" s="3">
        <v>0.0</v>
      </c>
      <c r="Q2" s="3" t="s">
        <v>970</v>
      </c>
      <c r="S2" s="3" t="s">
        <v>127</v>
      </c>
      <c r="T2" s="3">
        <v>1.0</v>
      </c>
      <c r="V2" s="3">
        <v>0.0</v>
      </c>
      <c r="W2" s="3" t="s">
        <v>252</v>
      </c>
      <c r="X2" s="3" t="s">
        <v>971</v>
      </c>
      <c r="Z2" s="34">
        <f t="array" ref="Z2:Z246">IF(ISBLANK('Form Responses 1'!F2:F1000), "", VLOOKUP(VLOOKUP('Form Responses 1'!F2:F1000, 'Calculations &amp; Lookup'!$D$2:$E$7, 2, TRUE), 'Calculations &amp; Lookup'!$A$2:$B$7, 2, FALSE))</f>
        <v>5</v>
      </c>
      <c r="AA2" s="34">
        <f t="array" ref="AA2:AA246">IF(ISBLANK('Form Responses 1'!G2:G1000), "", VLOOKUP(VLOOKUP('Form Responses 1'!G2:G1000, 'Calculations &amp; Lookup'!$G$2:$H$7, 2, TRUE), 'Calculations &amp; Lookup'!$A$2:$B$7, 2, FALSE))</f>
        <v>3</v>
      </c>
      <c r="AB2" s="34">
        <f t="array" ref="AB2:AB246">IF(ISBLANK('Form Responses 1'!H2:H1000), "", VLOOKUP(VLOOKUP('Form Responses 1'!H2:H1000, 'Calculations &amp; Lookup'!$J$2:$K$7, 2, TRUE), 'Calculations &amp; Lookup'!$A$2:$B$7, 2, FALSE))</f>
        <v>3</v>
      </c>
      <c r="AC2" s="34">
        <f t="array" ref="AC2:AC246">IF(ISBLANK('Form Responses 1'!I2:I1000), "", VLOOKUP(VLOOKUP('Form Responses 1'!I2:I1000, 'Calculations &amp; Lookup'!$M$2:$N$7, 2, FALSE), 'Calculations &amp; Lookup'!$A$2:$B$7, 2, FALSE))</f>
        <v>2</v>
      </c>
      <c r="AD2" s="34">
        <f t="array" ref="AD2:AD246">IF(ISBLANK('Form Responses 1'!J2:J1000), "", VLOOKUP(VLOOKUP('Form Responses 1'!J2:J1000, 'Calculations &amp; Lookup'!$P$2:$Q$7, 2, TRUE), 'Calculations &amp; Lookup'!$A$2:$B$7, 2, FALSE))</f>
        <v>2</v>
      </c>
      <c r="AE2" s="34">
        <f t="array" ref="AE2:AE1000">IF(ISBLANK(Z2:Z1000), "", (Z2:Z1000 * VLOOKUP("BOLT", 'Calculations &amp; Lookup'!$S$2:$T$6, 2, FALSE)) + (AA2:AA1000 * VLOOKUP("CO2TT", 'Calculations &amp; Lookup'!$S$2:$T$6, 2, FALSE)) + (AB2:AB1000 * VLOOKUP("MBT", 'Calculations &amp; Lookup'!$S$2:$T$6, 2, FALSE)) + (AC2:AC1000 * VLOOKUP("LOM", 'Calculations &amp; Lookup'!$S$2:$T$6, 2, FALSE)) + (AD2:AD1000 * VLOOKUP("ROM", 'Calculations &amp; Lookup'!$S$2:$T$6, 2, FALSE)))</f>
        <v>28</v>
      </c>
      <c r="AF2" s="34">
        <f t="array" ref="AF2:AF1000">IF(ISBLANK(AE2:AE1000), "", (AE2:AE1000 / 'Calculations &amp; Lookup'!$T$8) * 100)</f>
        <v>56</v>
      </c>
      <c r="AG2" s="34" t="str">
        <f t="array" ref="AG2:AG1000">IF(ISBLANK(AF2:AF1000), "", VLOOKUP(AF2:AF1000, 'Calculations &amp; Lookup'!$V$2:$X$7, 2, TRUE))</f>
        <v>Fair</v>
      </c>
      <c r="AH2" s="34" t="str">
        <f t="array" ref="AH2:AH1000">IF(ISBLANK(AF2:AF1000), "", VLOOKUP(AF2:AF1000, 'Calculations &amp; Lookup'!$V$2:$X$7, 3, TRUE))</f>
        <v>Breather-in-Training</v>
      </c>
    </row>
    <row r="3">
      <c r="A3" s="3" t="s">
        <v>1026</v>
      </c>
      <c r="B3" s="3">
        <v>1.0</v>
      </c>
      <c r="D3" s="3">
        <v>15.0</v>
      </c>
      <c r="E3" s="3" t="s">
        <v>1026</v>
      </c>
      <c r="G3" s="3">
        <v>25.0</v>
      </c>
      <c r="H3" s="3" t="s">
        <v>1026</v>
      </c>
      <c r="J3" s="3">
        <v>25.0</v>
      </c>
      <c r="K3" s="3" t="s">
        <v>1026</v>
      </c>
      <c r="M3" s="3" t="s">
        <v>715</v>
      </c>
      <c r="N3" s="3" t="s">
        <v>1026</v>
      </c>
      <c r="P3" s="3">
        <v>60.0</v>
      </c>
      <c r="Q3" s="3" t="s">
        <v>1026</v>
      </c>
      <c r="S3" s="3" t="s">
        <v>129</v>
      </c>
      <c r="T3" s="3">
        <v>2.0</v>
      </c>
      <c r="V3" s="3">
        <v>31.0</v>
      </c>
      <c r="W3" s="3" t="s">
        <v>164</v>
      </c>
      <c r="X3" s="3" t="s">
        <v>208</v>
      </c>
      <c r="Z3" s="34">
        <v>5.0</v>
      </c>
      <c r="AA3" s="34">
        <v>4.0</v>
      </c>
      <c r="AB3" s="34">
        <v>3.0</v>
      </c>
      <c r="AC3" s="34" t="e">
        <v>#N/A</v>
      </c>
      <c r="AD3" s="34">
        <v>2.0</v>
      </c>
      <c r="AE3" s="34" t="e">
        <v>#N/A</v>
      </c>
      <c r="AF3" s="34" t="e">
        <v>#N/A</v>
      </c>
      <c r="AG3" s="34" t="e">
        <v>#N/A</v>
      </c>
      <c r="AH3" s="34" t="e">
        <v>#N/A</v>
      </c>
    </row>
    <row r="4">
      <c r="A4" s="3" t="s">
        <v>1029</v>
      </c>
      <c r="B4" s="3">
        <v>2.0</v>
      </c>
      <c r="D4" s="3">
        <v>20.0</v>
      </c>
      <c r="E4" s="3" t="s">
        <v>1029</v>
      </c>
      <c r="G4" s="3">
        <v>40.0</v>
      </c>
      <c r="H4" s="3" t="s">
        <v>1029</v>
      </c>
      <c r="J4" s="3">
        <v>40.0</v>
      </c>
      <c r="K4" s="3" t="s">
        <v>1029</v>
      </c>
      <c r="M4" s="3" t="s">
        <v>160</v>
      </c>
      <c r="N4" s="3" t="s">
        <v>1029</v>
      </c>
      <c r="P4" s="3">
        <v>75.0</v>
      </c>
      <c r="Q4" s="3" t="s">
        <v>1029</v>
      </c>
      <c r="S4" s="3" t="s">
        <v>131</v>
      </c>
      <c r="T4" s="3">
        <v>3.0</v>
      </c>
      <c r="V4" s="3">
        <v>50.0</v>
      </c>
      <c r="W4" s="3" t="s">
        <v>313</v>
      </c>
      <c r="X4" s="3" t="s">
        <v>985</v>
      </c>
      <c r="Z4" s="34">
        <v>2.0</v>
      </c>
      <c r="AA4" s="34">
        <v>2.0</v>
      </c>
      <c r="AB4" s="34">
        <v>4.0</v>
      </c>
      <c r="AC4" s="34">
        <v>3.0</v>
      </c>
      <c r="AD4" s="34">
        <v>3.0</v>
      </c>
      <c r="AE4" s="34">
        <v>30.0</v>
      </c>
      <c r="AF4" s="34">
        <v>60.0</v>
      </c>
      <c r="AG4" s="34" t="s">
        <v>313</v>
      </c>
      <c r="AH4" s="34" t="s">
        <v>985</v>
      </c>
    </row>
    <row r="5">
      <c r="A5" s="3" t="s">
        <v>374</v>
      </c>
      <c r="B5" s="3">
        <v>3.0</v>
      </c>
      <c r="D5" s="3">
        <v>25.0</v>
      </c>
      <c r="E5" s="3" t="s">
        <v>374</v>
      </c>
      <c r="G5" s="3">
        <v>55.0</v>
      </c>
      <c r="H5" s="3" t="s">
        <v>374</v>
      </c>
      <c r="J5" s="3">
        <v>55.0</v>
      </c>
      <c r="K5" s="3" t="s">
        <v>374</v>
      </c>
      <c r="M5" s="3" t="s">
        <v>101</v>
      </c>
      <c r="N5" s="3" t="s">
        <v>374</v>
      </c>
      <c r="P5" s="3">
        <v>90.0</v>
      </c>
      <c r="Q5" s="3" t="s">
        <v>374</v>
      </c>
      <c r="S5" s="3" t="s">
        <v>132</v>
      </c>
      <c r="T5" s="3">
        <v>3.0</v>
      </c>
      <c r="V5" s="3">
        <v>65.0</v>
      </c>
      <c r="W5" s="3" t="s">
        <v>374</v>
      </c>
      <c r="X5" s="3" t="s">
        <v>1005</v>
      </c>
      <c r="Z5" s="34">
        <v>5.0</v>
      </c>
      <c r="AA5" s="34">
        <v>2.0</v>
      </c>
      <c r="AB5" s="34">
        <v>4.0</v>
      </c>
      <c r="AC5" s="34">
        <v>2.0</v>
      </c>
      <c r="AD5" s="34">
        <v>2.0</v>
      </c>
      <c r="AE5" s="34">
        <v>29.0</v>
      </c>
      <c r="AF5" s="34">
        <v>57.99999999999999</v>
      </c>
      <c r="AG5" s="34" t="s">
        <v>313</v>
      </c>
      <c r="AH5" s="34" t="s">
        <v>985</v>
      </c>
    </row>
    <row r="6">
      <c r="A6" s="3" t="s">
        <v>522</v>
      </c>
      <c r="B6" s="3">
        <v>4.0</v>
      </c>
      <c r="D6" s="3">
        <v>30.0</v>
      </c>
      <c r="E6" s="3" t="s">
        <v>522</v>
      </c>
      <c r="G6" s="3">
        <v>70.0</v>
      </c>
      <c r="H6" s="3" t="s">
        <v>522</v>
      </c>
      <c r="J6" s="3">
        <v>70.0</v>
      </c>
      <c r="K6" s="3" t="s">
        <v>522</v>
      </c>
      <c r="M6" s="3" t="s">
        <v>438</v>
      </c>
      <c r="N6" s="3" t="s">
        <v>522</v>
      </c>
      <c r="P6" s="3">
        <v>105.0</v>
      </c>
      <c r="Q6" s="3" t="s">
        <v>522</v>
      </c>
      <c r="S6" s="3" t="s">
        <v>996</v>
      </c>
      <c r="T6" s="3">
        <v>1.0</v>
      </c>
      <c r="V6" s="3">
        <v>80.0</v>
      </c>
      <c r="W6" s="3" t="s">
        <v>522</v>
      </c>
      <c r="X6" s="3" t="s">
        <v>1011</v>
      </c>
      <c r="Z6" s="34">
        <v>0.0</v>
      </c>
      <c r="AA6" s="34">
        <v>3.0</v>
      </c>
      <c r="AB6" s="34">
        <v>3.0</v>
      </c>
      <c r="AC6" s="34">
        <v>0.0</v>
      </c>
      <c r="AD6" s="34">
        <v>2.0</v>
      </c>
      <c r="AE6" s="34">
        <v>17.0</v>
      </c>
      <c r="AF6" s="34">
        <v>34.0</v>
      </c>
      <c r="AG6" s="34" t="s">
        <v>164</v>
      </c>
      <c r="AH6" s="34" t="s">
        <v>208</v>
      </c>
    </row>
    <row r="7">
      <c r="A7" s="3" t="s">
        <v>708</v>
      </c>
      <c r="B7" s="3">
        <v>5.0</v>
      </c>
      <c r="D7" s="3">
        <v>35.0</v>
      </c>
      <c r="E7" s="3" t="s">
        <v>708</v>
      </c>
      <c r="G7" s="3">
        <v>85.0</v>
      </c>
      <c r="H7" s="3" t="s">
        <v>708</v>
      </c>
      <c r="J7" s="3">
        <v>85.0</v>
      </c>
      <c r="K7" s="3" t="s">
        <v>708</v>
      </c>
      <c r="M7" s="3" t="s">
        <v>370</v>
      </c>
      <c r="N7" s="3" t="s">
        <v>708</v>
      </c>
      <c r="P7" s="3">
        <v>120.0</v>
      </c>
      <c r="Q7" s="3" t="s">
        <v>708</v>
      </c>
      <c r="V7" s="3">
        <v>93.0</v>
      </c>
      <c r="W7" s="3" t="s">
        <v>708</v>
      </c>
      <c r="X7" s="3" t="s">
        <v>1033</v>
      </c>
      <c r="Z7" s="34">
        <v>5.0</v>
      </c>
      <c r="AA7" s="34">
        <v>0.0</v>
      </c>
      <c r="AB7" s="34">
        <v>1.0</v>
      </c>
      <c r="AC7" s="34">
        <v>4.0</v>
      </c>
      <c r="AD7" s="34">
        <v>2.0</v>
      </c>
      <c r="AE7" s="34">
        <v>22.0</v>
      </c>
      <c r="AF7" s="34">
        <v>44.0</v>
      </c>
      <c r="AG7" s="34" t="s">
        <v>164</v>
      </c>
      <c r="AH7" s="34" t="s">
        <v>208</v>
      </c>
    </row>
    <row r="8">
      <c r="S8" s="3" t="s">
        <v>1034</v>
      </c>
      <c r="T8" s="3">
        <v>50.0</v>
      </c>
      <c r="Z8" s="34">
        <v>5.0</v>
      </c>
      <c r="AA8" s="34">
        <v>3.0</v>
      </c>
      <c r="AB8" s="34">
        <v>3.0</v>
      </c>
      <c r="AC8" s="34">
        <v>0.0</v>
      </c>
      <c r="AD8" s="34">
        <v>0.0</v>
      </c>
      <c r="AE8" s="34">
        <v>20.0</v>
      </c>
      <c r="AF8" s="34">
        <v>40.0</v>
      </c>
      <c r="AG8" s="34" t="s">
        <v>164</v>
      </c>
      <c r="AH8" s="34" t="s">
        <v>208</v>
      </c>
    </row>
    <row r="9">
      <c r="Z9" s="34">
        <v>5.0</v>
      </c>
      <c r="AA9" s="34">
        <v>3.0</v>
      </c>
      <c r="AB9" s="34">
        <v>4.0</v>
      </c>
      <c r="AC9" s="34">
        <v>1.0</v>
      </c>
      <c r="AD9" s="34">
        <v>2.0</v>
      </c>
      <c r="AE9" s="34">
        <v>28.0</v>
      </c>
      <c r="AF9" s="34">
        <v>56.00000000000001</v>
      </c>
      <c r="AG9" s="34" t="s">
        <v>313</v>
      </c>
      <c r="AH9" s="34" t="s">
        <v>985</v>
      </c>
    </row>
    <row r="10">
      <c r="Z10" s="34">
        <v>2.0</v>
      </c>
      <c r="AA10" s="34">
        <v>3.0</v>
      </c>
      <c r="AB10" s="34">
        <v>4.0</v>
      </c>
      <c r="AC10" s="34">
        <v>3.0</v>
      </c>
      <c r="AD10" s="34">
        <v>3.0</v>
      </c>
      <c r="AE10" s="34">
        <v>32.0</v>
      </c>
      <c r="AF10" s="34">
        <v>64.0</v>
      </c>
      <c r="AG10" s="34" t="s">
        <v>313</v>
      </c>
      <c r="AH10" s="34" t="s">
        <v>985</v>
      </c>
    </row>
    <row r="11">
      <c r="Z11" s="34">
        <v>5.0</v>
      </c>
      <c r="AA11" s="34">
        <v>3.0</v>
      </c>
      <c r="AB11" s="34">
        <v>1.0</v>
      </c>
      <c r="AC11" s="34">
        <v>5.0</v>
      </c>
      <c r="AD11" s="34">
        <v>1.0</v>
      </c>
      <c r="AE11" s="34">
        <v>30.0</v>
      </c>
      <c r="AF11" s="34">
        <v>60.0</v>
      </c>
      <c r="AG11" s="34" t="s">
        <v>313</v>
      </c>
      <c r="AH11" s="34" t="s">
        <v>985</v>
      </c>
    </row>
    <row r="12">
      <c r="Z12" s="34">
        <v>4.0</v>
      </c>
      <c r="AA12" s="34">
        <v>2.0</v>
      </c>
      <c r="AB12" s="34">
        <v>1.0</v>
      </c>
      <c r="AC12" s="34">
        <v>0.0</v>
      </c>
      <c r="AD12" s="34">
        <v>2.0</v>
      </c>
      <c r="AE12" s="34">
        <v>13.0</v>
      </c>
      <c r="AF12" s="34">
        <v>26.0</v>
      </c>
      <c r="AG12" s="34" t="s">
        <v>252</v>
      </c>
      <c r="AH12" s="34" t="s">
        <v>971</v>
      </c>
    </row>
    <row r="13">
      <c r="Z13" s="34">
        <v>2.0</v>
      </c>
      <c r="AA13" s="34">
        <v>2.0</v>
      </c>
      <c r="AB13" s="34">
        <v>3.0</v>
      </c>
      <c r="AC13" s="34">
        <v>1.0</v>
      </c>
      <c r="AD13" s="34">
        <v>2.0</v>
      </c>
      <c r="AE13" s="34">
        <v>20.0</v>
      </c>
      <c r="AF13" s="34">
        <v>40.0</v>
      </c>
      <c r="AG13" s="34" t="s">
        <v>164</v>
      </c>
      <c r="AH13" s="34" t="s">
        <v>208</v>
      </c>
    </row>
    <row r="14">
      <c r="Z14" s="34">
        <v>2.0</v>
      </c>
      <c r="AA14" s="34">
        <v>1.0</v>
      </c>
      <c r="AB14" s="34">
        <v>2.0</v>
      </c>
      <c r="AC14" s="34">
        <v>2.0</v>
      </c>
      <c r="AD14" s="34">
        <v>1.0</v>
      </c>
      <c r="AE14" s="34">
        <v>17.0</v>
      </c>
      <c r="AF14" s="34">
        <v>34.0</v>
      </c>
      <c r="AG14" s="34" t="s">
        <v>164</v>
      </c>
      <c r="AH14" s="34" t="s">
        <v>208</v>
      </c>
    </row>
    <row r="15">
      <c r="Z15" s="34">
        <v>4.0</v>
      </c>
      <c r="AA15" s="34">
        <v>2.0</v>
      </c>
      <c r="AB15" s="34">
        <v>3.0</v>
      </c>
      <c r="AC15" s="34">
        <v>0.0</v>
      </c>
      <c r="AD15" s="34">
        <v>2.0</v>
      </c>
      <c r="AE15" s="34">
        <v>19.0</v>
      </c>
      <c r="AF15" s="34">
        <v>38.0</v>
      </c>
      <c r="AG15" s="34" t="s">
        <v>164</v>
      </c>
      <c r="AH15" s="34" t="s">
        <v>208</v>
      </c>
    </row>
    <row r="16">
      <c r="Z16" s="34">
        <v>2.0</v>
      </c>
      <c r="AA16" s="34">
        <v>1.0</v>
      </c>
      <c r="AB16" s="34">
        <v>2.0</v>
      </c>
      <c r="AC16" s="34">
        <v>5.0</v>
      </c>
      <c r="AD16" s="34">
        <v>0.0</v>
      </c>
      <c r="AE16" s="34">
        <v>25.0</v>
      </c>
      <c r="AF16" s="34">
        <v>50.0</v>
      </c>
      <c r="AG16" s="34" t="s">
        <v>313</v>
      </c>
      <c r="AH16" s="34" t="s">
        <v>985</v>
      </c>
    </row>
    <row r="17">
      <c r="Z17" s="34">
        <v>4.0</v>
      </c>
      <c r="AA17" s="34">
        <v>2.0</v>
      </c>
      <c r="AB17" s="34">
        <v>2.0</v>
      </c>
      <c r="AC17" s="34">
        <v>2.0</v>
      </c>
      <c r="AD17" s="34">
        <v>2.0</v>
      </c>
      <c r="AE17" s="34">
        <v>22.0</v>
      </c>
      <c r="AF17" s="34">
        <v>44.0</v>
      </c>
      <c r="AG17" s="34" t="s">
        <v>164</v>
      </c>
      <c r="AH17" s="34" t="s">
        <v>208</v>
      </c>
    </row>
    <row r="18">
      <c r="Z18" s="34">
        <v>4.0</v>
      </c>
      <c r="AA18" s="34">
        <v>2.0</v>
      </c>
      <c r="AB18" s="34">
        <v>3.0</v>
      </c>
      <c r="AC18" s="34">
        <v>5.0</v>
      </c>
      <c r="AD18" s="34">
        <v>1.0</v>
      </c>
      <c r="AE18" s="34">
        <v>33.0</v>
      </c>
      <c r="AF18" s="34">
        <v>66.0</v>
      </c>
      <c r="AG18" s="34" t="s">
        <v>374</v>
      </c>
      <c r="AH18" s="34" t="s">
        <v>1005</v>
      </c>
    </row>
    <row r="19">
      <c r="Z19" s="34">
        <v>5.0</v>
      </c>
      <c r="AA19" s="34">
        <v>3.0</v>
      </c>
      <c r="AB19" s="34">
        <v>3.0</v>
      </c>
      <c r="AC19" s="34">
        <v>3.0</v>
      </c>
      <c r="AD19" s="34">
        <v>2.0</v>
      </c>
      <c r="AE19" s="34">
        <v>31.0</v>
      </c>
      <c r="AF19" s="34">
        <v>62.0</v>
      </c>
      <c r="AG19" s="34" t="s">
        <v>313</v>
      </c>
      <c r="AH19" s="34" t="s">
        <v>985</v>
      </c>
    </row>
    <row r="20">
      <c r="Z20" s="34">
        <v>4.0</v>
      </c>
      <c r="AA20" s="34">
        <v>2.0</v>
      </c>
      <c r="AB20" s="34">
        <v>2.0</v>
      </c>
      <c r="AC20" s="34">
        <v>0.0</v>
      </c>
      <c r="AD20" s="34">
        <v>3.0</v>
      </c>
      <c r="AE20" s="34">
        <v>17.0</v>
      </c>
      <c r="AF20" s="34">
        <v>34.0</v>
      </c>
      <c r="AG20" s="34" t="s">
        <v>164</v>
      </c>
      <c r="AH20" s="34" t="s">
        <v>208</v>
      </c>
    </row>
    <row r="21">
      <c r="Z21" s="34">
        <v>3.0</v>
      </c>
      <c r="AA21" s="34">
        <v>3.0</v>
      </c>
      <c r="AB21" s="34">
        <v>3.0</v>
      </c>
      <c r="AC21" s="34">
        <v>2.0</v>
      </c>
      <c r="AD21" s="34">
        <v>2.0</v>
      </c>
      <c r="AE21" s="34">
        <v>26.0</v>
      </c>
      <c r="AF21" s="34">
        <v>52.0</v>
      </c>
      <c r="AG21" s="34" t="s">
        <v>313</v>
      </c>
      <c r="AH21" s="34" t="s">
        <v>985</v>
      </c>
    </row>
    <row r="22">
      <c r="Z22" s="34">
        <v>5.0</v>
      </c>
      <c r="AA22" s="34">
        <v>2.0</v>
      </c>
      <c r="AB22" s="34">
        <v>4.0</v>
      </c>
      <c r="AC22" s="34">
        <v>4.0</v>
      </c>
      <c r="AD22" s="34">
        <v>2.0</v>
      </c>
      <c r="AE22" s="34">
        <v>35.0</v>
      </c>
      <c r="AF22" s="34">
        <v>70.0</v>
      </c>
      <c r="AG22" s="34" t="s">
        <v>374</v>
      </c>
      <c r="AH22" s="34" t="s">
        <v>1005</v>
      </c>
    </row>
    <row r="23">
      <c r="Z23" s="34">
        <v>4.0</v>
      </c>
      <c r="AA23" s="34">
        <v>2.0</v>
      </c>
      <c r="AB23" s="34">
        <v>2.0</v>
      </c>
      <c r="AC23" s="34">
        <v>2.0</v>
      </c>
      <c r="AD23" s="34">
        <v>3.0</v>
      </c>
      <c r="AE23" s="34">
        <v>23.0</v>
      </c>
      <c r="AF23" s="34">
        <v>46.0</v>
      </c>
      <c r="AG23" s="34" t="s">
        <v>164</v>
      </c>
      <c r="AH23" s="34" t="s">
        <v>208</v>
      </c>
    </row>
    <row r="24">
      <c r="Z24" s="34">
        <v>4.0</v>
      </c>
      <c r="AA24" s="34">
        <v>0.0</v>
      </c>
      <c r="AB24" s="34">
        <v>3.0</v>
      </c>
      <c r="AC24" s="34">
        <v>5.0</v>
      </c>
      <c r="AD24" s="34">
        <v>2.0</v>
      </c>
      <c r="AE24" s="34">
        <v>30.0</v>
      </c>
      <c r="AF24" s="34">
        <v>60.0</v>
      </c>
      <c r="AG24" s="34" t="s">
        <v>313</v>
      </c>
      <c r="AH24" s="34" t="s">
        <v>985</v>
      </c>
    </row>
    <row r="25">
      <c r="Z25" s="34">
        <v>2.0</v>
      </c>
      <c r="AA25" s="34">
        <v>1.0</v>
      </c>
      <c r="AB25" s="34">
        <v>2.0</v>
      </c>
      <c r="AC25" s="34">
        <v>0.0</v>
      </c>
      <c r="AD25" s="34">
        <v>2.0</v>
      </c>
      <c r="AE25" s="34">
        <v>12.0</v>
      </c>
      <c r="AF25" s="34">
        <v>24.0</v>
      </c>
      <c r="AG25" s="34" t="s">
        <v>252</v>
      </c>
      <c r="AH25" s="34" t="s">
        <v>971</v>
      </c>
    </row>
    <row r="26">
      <c r="Z26" s="34">
        <v>2.0</v>
      </c>
      <c r="AA26" s="34">
        <v>1.0</v>
      </c>
      <c r="AB26" s="34">
        <v>3.0</v>
      </c>
      <c r="AC26" s="34">
        <v>0.0</v>
      </c>
      <c r="AD26" s="34">
        <v>3.0</v>
      </c>
      <c r="AE26" s="34">
        <v>16.0</v>
      </c>
      <c r="AF26" s="34">
        <v>32.0</v>
      </c>
      <c r="AG26" s="34" t="s">
        <v>164</v>
      </c>
      <c r="AH26" s="34" t="s">
        <v>208</v>
      </c>
    </row>
    <row r="27">
      <c r="Z27" s="34">
        <v>2.0</v>
      </c>
      <c r="AA27" s="34">
        <v>2.0</v>
      </c>
      <c r="AB27" s="34">
        <v>2.0</v>
      </c>
      <c r="AC27" s="34">
        <v>0.0</v>
      </c>
      <c r="AD27" s="34">
        <v>2.0</v>
      </c>
      <c r="AE27" s="34">
        <v>14.0</v>
      </c>
      <c r="AF27" s="34">
        <v>28.000000000000004</v>
      </c>
      <c r="AG27" s="34" t="s">
        <v>252</v>
      </c>
      <c r="AH27" s="34" t="s">
        <v>971</v>
      </c>
    </row>
    <row r="28">
      <c r="Z28" s="34">
        <v>4.0</v>
      </c>
      <c r="AA28" s="34">
        <v>0.0</v>
      </c>
      <c r="AB28" s="34">
        <v>3.0</v>
      </c>
      <c r="AC28" s="34">
        <v>1.0</v>
      </c>
      <c r="AD28" s="34">
        <v>1.0</v>
      </c>
      <c r="AE28" s="34">
        <v>17.0</v>
      </c>
      <c r="AF28" s="34">
        <v>34.0</v>
      </c>
      <c r="AG28" s="34" t="s">
        <v>164</v>
      </c>
      <c r="AH28" s="34" t="s">
        <v>208</v>
      </c>
    </row>
    <row r="29">
      <c r="Z29" s="34">
        <v>2.0</v>
      </c>
      <c r="AA29" s="34">
        <v>1.0</v>
      </c>
      <c r="AB29" s="34">
        <v>3.0</v>
      </c>
      <c r="AC29" s="34">
        <v>0.0</v>
      </c>
      <c r="AD29" s="34">
        <v>1.0</v>
      </c>
      <c r="AE29" s="34">
        <v>14.0</v>
      </c>
      <c r="AF29" s="34">
        <v>28.000000000000004</v>
      </c>
      <c r="AG29" s="34" t="s">
        <v>252</v>
      </c>
      <c r="AH29" s="34" t="s">
        <v>971</v>
      </c>
    </row>
    <row r="30">
      <c r="Z30" s="34">
        <v>2.0</v>
      </c>
      <c r="AA30" s="34">
        <v>1.0</v>
      </c>
      <c r="AB30" s="34">
        <v>2.0</v>
      </c>
      <c r="AC30" s="34">
        <v>5.0</v>
      </c>
      <c r="AD30" s="34">
        <v>2.0</v>
      </c>
      <c r="AE30" s="34">
        <v>27.0</v>
      </c>
      <c r="AF30" s="34">
        <v>54.0</v>
      </c>
      <c r="AG30" s="34" t="s">
        <v>313</v>
      </c>
      <c r="AH30" s="34" t="s">
        <v>985</v>
      </c>
    </row>
    <row r="31">
      <c r="Z31" s="34">
        <v>2.0</v>
      </c>
      <c r="AA31" s="34">
        <v>2.0</v>
      </c>
      <c r="AB31" s="34">
        <v>3.0</v>
      </c>
      <c r="AC31" s="34">
        <v>1.0</v>
      </c>
      <c r="AD31" s="34">
        <v>3.0</v>
      </c>
      <c r="AE31" s="34">
        <v>21.0</v>
      </c>
      <c r="AF31" s="34">
        <v>42.0</v>
      </c>
      <c r="AG31" s="34" t="s">
        <v>164</v>
      </c>
      <c r="AH31" s="34" t="s">
        <v>208</v>
      </c>
    </row>
    <row r="32">
      <c r="Z32" s="34">
        <v>4.0</v>
      </c>
      <c r="AA32" s="34">
        <v>2.0</v>
      </c>
      <c r="AB32" s="34">
        <v>3.0</v>
      </c>
      <c r="AC32" s="34">
        <v>5.0</v>
      </c>
      <c r="AD32" s="34">
        <v>0.0</v>
      </c>
      <c r="AE32" s="34">
        <v>32.0</v>
      </c>
      <c r="AF32" s="34">
        <v>64.0</v>
      </c>
      <c r="AG32" s="34" t="s">
        <v>313</v>
      </c>
      <c r="AH32" s="34" t="s">
        <v>985</v>
      </c>
    </row>
    <row r="33">
      <c r="Z33" s="34">
        <v>2.0</v>
      </c>
      <c r="AA33" s="34">
        <v>4.0</v>
      </c>
      <c r="AB33" s="34">
        <v>3.0</v>
      </c>
      <c r="AC33" s="34">
        <v>5.0</v>
      </c>
      <c r="AD33" s="34">
        <v>3.0</v>
      </c>
      <c r="AE33" s="34">
        <v>37.0</v>
      </c>
      <c r="AF33" s="34">
        <v>74.0</v>
      </c>
      <c r="AG33" s="34" t="s">
        <v>374</v>
      </c>
      <c r="AH33" s="34" t="s">
        <v>1005</v>
      </c>
    </row>
    <row r="34">
      <c r="Z34" s="34">
        <v>2.0</v>
      </c>
      <c r="AA34" s="34">
        <v>1.0</v>
      </c>
      <c r="AB34" s="34">
        <v>3.0</v>
      </c>
      <c r="AC34" s="34">
        <v>5.0</v>
      </c>
      <c r="AD34" s="34">
        <v>2.0</v>
      </c>
      <c r="AE34" s="34">
        <v>30.0</v>
      </c>
      <c r="AF34" s="34">
        <v>60.0</v>
      </c>
      <c r="AG34" s="34" t="s">
        <v>313</v>
      </c>
      <c r="AH34" s="34" t="s">
        <v>985</v>
      </c>
    </row>
    <row r="35">
      <c r="Z35" s="34">
        <v>2.0</v>
      </c>
      <c r="AA35" s="34">
        <v>2.0</v>
      </c>
      <c r="AB35" s="34">
        <v>3.0</v>
      </c>
      <c r="AC35" s="34">
        <v>5.0</v>
      </c>
      <c r="AD35" s="34">
        <v>2.0</v>
      </c>
      <c r="AE35" s="34">
        <v>32.0</v>
      </c>
      <c r="AF35" s="34">
        <v>64.0</v>
      </c>
      <c r="AG35" s="34" t="s">
        <v>313</v>
      </c>
      <c r="AH35" s="34" t="s">
        <v>985</v>
      </c>
    </row>
    <row r="36">
      <c r="Z36" s="34">
        <v>4.0</v>
      </c>
      <c r="AA36" s="34">
        <v>2.0</v>
      </c>
      <c r="AB36" s="34">
        <v>3.0</v>
      </c>
      <c r="AC36" s="34">
        <v>5.0</v>
      </c>
      <c r="AD36" s="34">
        <v>2.0</v>
      </c>
      <c r="AE36" s="34">
        <v>34.0</v>
      </c>
      <c r="AF36" s="34">
        <v>68.0</v>
      </c>
      <c r="AG36" s="34" t="s">
        <v>374</v>
      </c>
      <c r="AH36" s="34" t="s">
        <v>1005</v>
      </c>
    </row>
    <row r="37">
      <c r="Z37" s="34">
        <v>2.0</v>
      </c>
      <c r="AA37" s="34">
        <v>1.0</v>
      </c>
      <c r="AB37" s="34">
        <v>3.0</v>
      </c>
      <c r="AC37" s="34">
        <v>0.0</v>
      </c>
      <c r="AD37" s="34">
        <v>3.0</v>
      </c>
      <c r="AE37" s="34">
        <v>16.0</v>
      </c>
      <c r="AF37" s="34">
        <v>32.0</v>
      </c>
      <c r="AG37" s="34" t="s">
        <v>164</v>
      </c>
      <c r="AH37" s="34" t="s">
        <v>208</v>
      </c>
    </row>
    <row r="38">
      <c r="Z38" s="34">
        <v>4.0</v>
      </c>
      <c r="AA38" s="34">
        <v>1.0</v>
      </c>
      <c r="AB38" s="34">
        <v>2.0</v>
      </c>
      <c r="AC38" s="34">
        <v>2.0</v>
      </c>
      <c r="AD38" s="34">
        <v>2.0</v>
      </c>
      <c r="AE38" s="34">
        <v>20.0</v>
      </c>
      <c r="AF38" s="34">
        <v>40.0</v>
      </c>
      <c r="AG38" s="34" t="s">
        <v>164</v>
      </c>
      <c r="AH38" s="34" t="s">
        <v>208</v>
      </c>
    </row>
    <row r="39">
      <c r="Z39" s="34">
        <v>4.0</v>
      </c>
      <c r="AA39" s="34">
        <v>2.0</v>
      </c>
      <c r="AB39" s="34">
        <v>3.0</v>
      </c>
      <c r="AC39" s="34">
        <v>5.0</v>
      </c>
      <c r="AD39" s="34">
        <v>3.0</v>
      </c>
      <c r="AE39" s="34">
        <v>35.0</v>
      </c>
      <c r="AF39" s="34">
        <v>70.0</v>
      </c>
      <c r="AG39" s="34" t="s">
        <v>374</v>
      </c>
      <c r="AH39" s="34" t="s">
        <v>1005</v>
      </c>
    </row>
    <row r="40">
      <c r="Z40" s="34">
        <v>4.0</v>
      </c>
      <c r="AA40" s="34">
        <v>2.0</v>
      </c>
      <c r="AB40" s="34">
        <v>3.0</v>
      </c>
      <c r="AC40" s="34">
        <v>5.0</v>
      </c>
      <c r="AD40" s="34">
        <v>3.0</v>
      </c>
      <c r="AE40" s="34">
        <v>35.0</v>
      </c>
      <c r="AF40" s="34">
        <v>70.0</v>
      </c>
      <c r="AG40" s="34" t="s">
        <v>374</v>
      </c>
      <c r="AH40" s="34" t="s">
        <v>1005</v>
      </c>
    </row>
    <row r="41">
      <c r="Z41" s="34">
        <v>4.0</v>
      </c>
      <c r="AA41" s="34">
        <v>2.0</v>
      </c>
      <c r="AB41" s="34">
        <v>3.0</v>
      </c>
      <c r="AC41" s="34">
        <v>5.0</v>
      </c>
      <c r="AD41" s="34">
        <v>3.0</v>
      </c>
      <c r="AE41" s="34">
        <v>35.0</v>
      </c>
      <c r="AF41" s="34">
        <v>70.0</v>
      </c>
      <c r="AG41" s="34" t="s">
        <v>374</v>
      </c>
      <c r="AH41" s="34" t="s">
        <v>1005</v>
      </c>
    </row>
    <row r="42">
      <c r="Z42" s="34">
        <v>4.0</v>
      </c>
      <c r="AA42" s="34">
        <v>2.0</v>
      </c>
      <c r="AB42" s="34">
        <v>3.0</v>
      </c>
      <c r="AC42" s="34">
        <v>5.0</v>
      </c>
      <c r="AD42" s="34">
        <v>3.0</v>
      </c>
      <c r="AE42" s="34">
        <v>35.0</v>
      </c>
      <c r="AF42" s="34">
        <v>70.0</v>
      </c>
      <c r="AG42" s="34" t="s">
        <v>374</v>
      </c>
      <c r="AH42" s="34" t="s">
        <v>1005</v>
      </c>
    </row>
    <row r="43">
      <c r="Z43" s="34">
        <v>4.0</v>
      </c>
      <c r="AA43" s="34">
        <v>2.0</v>
      </c>
      <c r="AB43" s="34">
        <v>3.0</v>
      </c>
      <c r="AC43" s="34">
        <v>5.0</v>
      </c>
      <c r="AD43" s="34">
        <v>3.0</v>
      </c>
      <c r="AE43" s="34">
        <v>35.0</v>
      </c>
      <c r="AF43" s="34">
        <v>70.0</v>
      </c>
      <c r="AG43" s="34" t="s">
        <v>374</v>
      </c>
      <c r="AH43" s="34" t="s">
        <v>1005</v>
      </c>
    </row>
    <row r="44">
      <c r="Z44" s="34">
        <v>4.0</v>
      </c>
      <c r="AA44" s="34">
        <v>2.0</v>
      </c>
      <c r="AB44" s="34">
        <v>3.0</v>
      </c>
      <c r="AC44" s="34">
        <v>5.0</v>
      </c>
      <c r="AD44" s="34">
        <v>3.0</v>
      </c>
      <c r="AE44" s="34">
        <v>35.0</v>
      </c>
      <c r="AF44" s="34">
        <v>70.0</v>
      </c>
      <c r="AG44" s="34" t="s">
        <v>374</v>
      </c>
      <c r="AH44" s="34" t="s">
        <v>1005</v>
      </c>
    </row>
    <row r="45">
      <c r="Z45" s="34">
        <v>4.0</v>
      </c>
      <c r="AA45" s="34">
        <v>2.0</v>
      </c>
      <c r="AB45" s="34">
        <v>3.0</v>
      </c>
      <c r="AC45" s="34">
        <v>5.0</v>
      </c>
      <c r="AD45" s="34">
        <v>3.0</v>
      </c>
      <c r="AE45" s="34">
        <v>35.0</v>
      </c>
      <c r="AF45" s="34">
        <v>70.0</v>
      </c>
      <c r="AG45" s="34" t="s">
        <v>374</v>
      </c>
      <c r="AH45" s="34" t="s">
        <v>1005</v>
      </c>
    </row>
    <row r="46">
      <c r="Z46" s="34">
        <v>4.0</v>
      </c>
      <c r="AA46" s="34">
        <v>2.0</v>
      </c>
      <c r="AB46" s="34">
        <v>3.0</v>
      </c>
      <c r="AC46" s="34">
        <v>5.0</v>
      </c>
      <c r="AD46" s="34">
        <v>3.0</v>
      </c>
      <c r="AE46" s="34">
        <v>35.0</v>
      </c>
      <c r="AF46" s="34">
        <v>70.0</v>
      </c>
      <c r="AG46" s="34" t="s">
        <v>374</v>
      </c>
      <c r="AH46" s="34" t="s">
        <v>1005</v>
      </c>
    </row>
    <row r="47">
      <c r="Z47" s="34">
        <v>4.0</v>
      </c>
      <c r="AA47" s="34">
        <v>2.0</v>
      </c>
      <c r="AB47" s="34">
        <v>3.0</v>
      </c>
      <c r="AC47" s="34">
        <v>5.0</v>
      </c>
      <c r="AD47" s="34">
        <v>3.0</v>
      </c>
      <c r="AE47" s="34">
        <v>35.0</v>
      </c>
      <c r="AF47" s="34">
        <v>70.0</v>
      </c>
      <c r="AG47" s="34" t="s">
        <v>374</v>
      </c>
      <c r="AH47" s="34" t="s">
        <v>1005</v>
      </c>
    </row>
    <row r="48">
      <c r="Z48" s="34">
        <v>4.0</v>
      </c>
      <c r="AA48" s="34">
        <v>2.0</v>
      </c>
      <c r="AB48" s="34">
        <v>3.0</v>
      </c>
      <c r="AC48" s="34">
        <v>5.0</v>
      </c>
      <c r="AD48" s="34">
        <v>3.0</v>
      </c>
      <c r="AE48" s="34">
        <v>35.0</v>
      </c>
      <c r="AF48" s="34">
        <v>70.0</v>
      </c>
      <c r="AG48" s="34" t="s">
        <v>374</v>
      </c>
      <c r="AH48" s="34" t="s">
        <v>1005</v>
      </c>
    </row>
    <row r="49">
      <c r="Z49" s="34">
        <v>4.0</v>
      </c>
      <c r="AA49" s="34">
        <v>3.0</v>
      </c>
      <c r="AB49" s="34">
        <v>2.0</v>
      </c>
      <c r="AC49" s="34">
        <v>0.0</v>
      </c>
      <c r="AD49" s="34">
        <v>1.0</v>
      </c>
      <c r="AE49" s="34">
        <v>17.0</v>
      </c>
      <c r="AF49" s="34">
        <v>34.0</v>
      </c>
      <c r="AG49" s="34" t="s">
        <v>164</v>
      </c>
      <c r="AH49" s="34" t="s">
        <v>208</v>
      </c>
    </row>
    <row r="50">
      <c r="Z50" s="34">
        <v>4.0</v>
      </c>
      <c r="AA50" s="34">
        <v>1.0</v>
      </c>
      <c r="AB50" s="34">
        <v>2.0</v>
      </c>
      <c r="AC50" s="34">
        <v>2.0</v>
      </c>
      <c r="AD50" s="34">
        <v>3.0</v>
      </c>
      <c r="AE50" s="34">
        <v>21.0</v>
      </c>
      <c r="AF50" s="34">
        <v>42.0</v>
      </c>
      <c r="AG50" s="34" t="s">
        <v>164</v>
      </c>
      <c r="AH50" s="34" t="s">
        <v>208</v>
      </c>
    </row>
    <row r="51">
      <c r="Z51" s="34">
        <v>2.0</v>
      </c>
      <c r="AA51" s="34">
        <v>2.0</v>
      </c>
      <c r="AB51" s="34">
        <v>3.0</v>
      </c>
      <c r="AC51" s="34">
        <v>5.0</v>
      </c>
      <c r="AD51" s="34">
        <v>2.0</v>
      </c>
      <c r="AE51" s="34">
        <v>32.0</v>
      </c>
      <c r="AF51" s="34">
        <v>64.0</v>
      </c>
      <c r="AG51" s="34" t="s">
        <v>313</v>
      </c>
      <c r="AH51" s="34" t="s">
        <v>985</v>
      </c>
    </row>
    <row r="52">
      <c r="Z52" s="34">
        <v>2.0</v>
      </c>
      <c r="AA52" s="34">
        <v>3.0</v>
      </c>
      <c r="AB52" s="34">
        <v>3.0</v>
      </c>
      <c r="AC52" s="34">
        <v>0.0</v>
      </c>
      <c r="AD52" s="34">
        <v>2.0</v>
      </c>
      <c r="AE52" s="34">
        <v>19.0</v>
      </c>
      <c r="AF52" s="34">
        <v>38.0</v>
      </c>
      <c r="AG52" s="34" t="s">
        <v>164</v>
      </c>
      <c r="AH52" s="34" t="s">
        <v>208</v>
      </c>
    </row>
    <row r="53">
      <c r="Z53" s="34">
        <v>2.0</v>
      </c>
      <c r="AA53" s="34">
        <v>4.0</v>
      </c>
      <c r="AB53" s="34">
        <v>4.0</v>
      </c>
      <c r="AC53" s="34">
        <v>3.0</v>
      </c>
      <c r="AD53" s="34">
        <v>3.0</v>
      </c>
      <c r="AE53" s="34">
        <v>34.0</v>
      </c>
      <c r="AF53" s="34">
        <v>68.0</v>
      </c>
      <c r="AG53" s="34" t="s">
        <v>374</v>
      </c>
      <c r="AH53" s="34" t="s">
        <v>1005</v>
      </c>
    </row>
    <row r="54">
      <c r="Z54" s="34">
        <v>2.0</v>
      </c>
      <c r="AA54" s="34">
        <v>3.0</v>
      </c>
      <c r="AB54" s="34">
        <v>3.0</v>
      </c>
      <c r="AC54" s="34">
        <v>3.0</v>
      </c>
      <c r="AD54" s="34">
        <v>3.0</v>
      </c>
      <c r="AE54" s="34">
        <v>29.0</v>
      </c>
      <c r="AF54" s="34">
        <v>57.99999999999999</v>
      </c>
      <c r="AG54" s="34" t="s">
        <v>313</v>
      </c>
      <c r="AH54" s="34" t="s">
        <v>985</v>
      </c>
    </row>
    <row r="55">
      <c r="Z55" s="34">
        <v>4.0</v>
      </c>
      <c r="AA55" s="34">
        <v>1.0</v>
      </c>
      <c r="AB55" s="34">
        <v>2.0</v>
      </c>
      <c r="AC55" s="34">
        <v>2.0</v>
      </c>
      <c r="AD55" s="34">
        <v>2.0</v>
      </c>
      <c r="AE55" s="34">
        <v>20.0</v>
      </c>
      <c r="AF55" s="34">
        <v>40.0</v>
      </c>
      <c r="AG55" s="34" t="s">
        <v>164</v>
      </c>
      <c r="AH55" s="34" t="s">
        <v>208</v>
      </c>
    </row>
    <row r="56">
      <c r="Z56" s="34">
        <v>4.0</v>
      </c>
      <c r="AA56" s="34">
        <v>2.0</v>
      </c>
      <c r="AB56" s="34">
        <v>3.0</v>
      </c>
      <c r="AC56" s="34">
        <v>4.0</v>
      </c>
      <c r="AD56" s="34">
        <v>3.0</v>
      </c>
      <c r="AE56" s="34">
        <v>32.0</v>
      </c>
      <c r="AF56" s="34">
        <v>64.0</v>
      </c>
      <c r="AG56" s="34" t="s">
        <v>313</v>
      </c>
      <c r="AH56" s="34" t="s">
        <v>985</v>
      </c>
    </row>
    <row r="57">
      <c r="Z57" s="34">
        <v>4.0</v>
      </c>
      <c r="AA57" s="34">
        <v>2.0</v>
      </c>
      <c r="AB57" s="34">
        <v>2.0</v>
      </c>
      <c r="AC57" s="34">
        <v>3.0</v>
      </c>
      <c r="AD57" s="34">
        <v>2.0</v>
      </c>
      <c r="AE57" s="34">
        <v>25.0</v>
      </c>
      <c r="AF57" s="34">
        <v>50.0</v>
      </c>
      <c r="AG57" s="34" t="s">
        <v>313</v>
      </c>
      <c r="AH57" s="34" t="s">
        <v>985</v>
      </c>
    </row>
    <row r="58">
      <c r="Z58" s="34">
        <v>2.0</v>
      </c>
      <c r="AA58" s="34">
        <v>1.0</v>
      </c>
      <c r="AB58" s="34">
        <v>1.0</v>
      </c>
      <c r="AC58" s="34">
        <v>0.0</v>
      </c>
      <c r="AD58" s="34">
        <v>3.0</v>
      </c>
      <c r="AE58" s="34">
        <v>10.0</v>
      </c>
      <c r="AF58" s="34">
        <v>20.0</v>
      </c>
      <c r="AG58" s="34" t="s">
        <v>252</v>
      </c>
      <c r="AH58" s="34" t="s">
        <v>971</v>
      </c>
    </row>
    <row r="59">
      <c r="Z59" s="34">
        <v>4.0</v>
      </c>
      <c r="AA59" s="34">
        <v>0.0</v>
      </c>
      <c r="AB59" s="34">
        <v>1.0</v>
      </c>
      <c r="AC59" s="34">
        <v>0.0</v>
      </c>
      <c r="AD59" s="34">
        <v>2.0</v>
      </c>
      <c r="AE59" s="34">
        <v>9.0</v>
      </c>
      <c r="AF59" s="34">
        <v>18.0</v>
      </c>
      <c r="AG59" s="34" t="s">
        <v>252</v>
      </c>
      <c r="AH59" s="34" t="s">
        <v>971</v>
      </c>
    </row>
    <row r="60">
      <c r="Z60" s="34">
        <v>4.0</v>
      </c>
      <c r="AA60" s="34">
        <v>1.0</v>
      </c>
      <c r="AB60" s="34">
        <v>2.0</v>
      </c>
      <c r="AC60" s="34">
        <v>3.0</v>
      </c>
      <c r="AD60" s="34">
        <v>1.0</v>
      </c>
      <c r="AE60" s="34">
        <v>22.0</v>
      </c>
      <c r="AF60" s="34">
        <v>44.0</v>
      </c>
      <c r="AG60" s="34" t="s">
        <v>164</v>
      </c>
      <c r="AH60" s="34" t="s">
        <v>208</v>
      </c>
    </row>
    <row r="61">
      <c r="Z61" s="34">
        <v>2.0</v>
      </c>
      <c r="AA61" s="34">
        <v>1.0</v>
      </c>
      <c r="AB61" s="34">
        <v>3.0</v>
      </c>
      <c r="AC61" s="34">
        <v>3.0</v>
      </c>
      <c r="AD61" s="34">
        <v>1.0</v>
      </c>
      <c r="AE61" s="34">
        <v>23.0</v>
      </c>
      <c r="AF61" s="34">
        <v>46.0</v>
      </c>
      <c r="AG61" s="34" t="s">
        <v>164</v>
      </c>
      <c r="AH61" s="34" t="s">
        <v>208</v>
      </c>
    </row>
    <row r="62">
      <c r="Z62" s="34">
        <v>2.0</v>
      </c>
      <c r="AA62" s="34">
        <v>1.0</v>
      </c>
      <c r="AB62" s="34">
        <v>1.0</v>
      </c>
      <c r="AC62" s="34">
        <v>3.0</v>
      </c>
      <c r="AD62" s="34">
        <v>0.0</v>
      </c>
      <c r="AE62" s="34">
        <v>16.0</v>
      </c>
      <c r="AF62" s="34">
        <v>32.0</v>
      </c>
      <c r="AG62" s="34" t="s">
        <v>164</v>
      </c>
      <c r="AH62" s="34" t="s">
        <v>208</v>
      </c>
    </row>
    <row r="63">
      <c r="Z63" s="34">
        <v>2.0</v>
      </c>
      <c r="AA63" s="34">
        <v>1.0</v>
      </c>
      <c r="AB63" s="34">
        <v>2.0</v>
      </c>
      <c r="AC63" s="34">
        <v>2.0</v>
      </c>
      <c r="AD63" s="34">
        <v>2.0</v>
      </c>
      <c r="AE63" s="34">
        <v>18.0</v>
      </c>
      <c r="AF63" s="34">
        <v>36.0</v>
      </c>
      <c r="AG63" s="34" t="s">
        <v>164</v>
      </c>
      <c r="AH63" s="34" t="s">
        <v>208</v>
      </c>
    </row>
    <row r="64">
      <c r="Z64" s="34">
        <v>5.0</v>
      </c>
      <c r="AA64" s="34">
        <v>3.0</v>
      </c>
      <c r="AB64" s="34">
        <v>1.0</v>
      </c>
      <c r="AC64" s="34">
        <v>2.0</v>
      </c>
      <c r="AD64" s="34">
        <v>2.0</v>
      </c>
      <c r="AE64" s="34">
        <v>22.0</v>
      </c>
      <c r="AF64" s="34">
        <v>44.0</v>
      </c>
      <c r="AG64" s="34" t="s">
        <v>164</v>
      </c>
      <c r="AH64" s="34" t="s">
        <v>208</v>
      </c>
    </row>
    <row r="65">
      <c r="Z65" s="34">
        <v>2.0</v>
      </c>
      <c r="AA65" s="34">
        <v>1.0</v>
      </c>
      <c r="AB65" s="34">
        <v>2.0</v>
      </c>
      <c r="AC65" s="34">
        <v>3.0</v>
      </c>
      <c r="AD65" s="34">
        <v>2.0</v>
      </c>
      <c r="AE65" s="34">
        <v>21.0</v>
      </c>
      <c r="AF65" s="34">
        <v>42.0</v>
      </c>
      <c r="AG65" s="34" t="s">
        <v>164</v>
      </c>
      <c r="AH65" s="34" t="s">
        <v>208</v>
      </c>
    </row>
    <row r="66">
      <c r="Z66" s="34">
        <v>4.0</v>
      </c>
      <c r="AA66" s="34">
        <v>1.0</v>
      </c>
      <c r="AB66" s="34">
        <v>2.0</v>
      </c>
      <c r="AC66" s="34">
        <v>5.0</v>
      </c>
      <c r="AD66" s="34">
        <v>3.0</v>
      </c>
      <c r="AE66" s="34">
        <v>30.0</v>
      </c>
      <c r="AF66" s="34">
        <v>60.0</v>
      </c>
      <c r="AG66" s="34" t="s">
        <v>313</v>
      </c>
      <c r="AH66" s="34" t="s">
        <v>985</v>
      </c>
    </row>
    <row r="67">
      <c r="Z67" s="34">
        <v>2.0</v>
      </c>
      <c r="AA67" s="34">
        <v>1.0</v>
      </c>
      <c r="AB67" s="34">
        <v>2.0</v>
      </c>
      <c r="AC67" s="34">
        <v>3.0</v>
      </c>
      <c r="AD67" s="34">
        <v>2.0</v>
      </c>
      <c r="AE67" s="34">
        <v>21.0</v>
      </c>
      <c r="AF67" s="34">
        <v>42.0</v>
      </c>
      <c r="AG67" s="34" t="s">
        <v>164</v>
      </c>
      <c r="AH67" s="34" t="s">
        <v>208</v>
      </c>
    </row>
    <row r="68">
      <c r="Z68" s="34">
        <v>4.0</v>
      </c>
      <c r="AA68" s="34">
        <v>1.0</v>
      </c>
      <c r="AB68" s="34">
        <v>2.0</v>
      </c>
      <c r="AC68" s="34">
        <v>5.0</v>
      </c>
      <c r="AD68" s="34">
        <v>3.0</v>
      </c>
      <c r="AE68" s="34">
        <v>30.0</v>
      </c>
      <c r="AF68" s="34">
        <v>60.0</v>
      </c>
      <c r="AG68" s="34" t="s">
        <v>313</v>
      </c>
      <c r="AH68" s="34" t="s">
        <v>985</v>
      </c>
    </row>
    <row r="69">
      <c r="Z69" s="34">
        <v>2.0</v>
      </c>
      <c r="AA69" s="34">
        <v>1.0</v>
      </c>
      <c r="AB69" s="34">
        <v>2.0</v>
      </c>
      <c r="AC69" s="34">
        <v>3.0</v>
      </c>
      <c r="AD69" s="34">
        <v>2.0</v>
      </c>
      <c r="AE69" s="34">
        <v>21.0</v>
      </c>
      <c r="AF69" s="34">
        <v>42.0</v>
      </c>
      <c r="AG69" s="34" t="s">
        <v>164</v>
      </c>
      <c r="AH69" s="34" t="s">
        <v>208</v>
      </c>
    </row>
    <row r="70">
      <c r="Z70" s="34">
        <v>4.0</v>
      </c>
      <c r="AA70" s="34">
        <v>1.0</v>
      </c>
      <c r="AB70" s="34">
        <v>2.0</v>
      </c>
      <c r="AC70" s="34">
        <v>5.0</v>
      </c>
      <c r="AD70" s="34">
        <v>2.0</v>
      </c>
      <c r="AE70" s="34">
        <v>29.0</v>
      </c>
      <c r="AF70" s="34">
        <v>57.99999999999999</v>
      </c>
      <c r="AG70" s="34" t="s">
        <v>313</v>
      </c>
      <c r="AH70" s="34" t="s">
        <v>985</v>
      </c>
    </row>
    <row r="71">
      <c r="Z71" s="34">
        <v>2.0</v>
      </c>
      <c r="AA71" s="34">
        <v>2.0</v>
      </c>
      <c r="AB71" s="34">
        <v>3.0</v>
      </c>
      <c r="AC71" s="34">
        <v>5.0</v>
      </c>
      <c r="AD71" s="34">
        <v>2.0</v>
      </c>
      <c r="AE71" s="34">
        <v>32.0</v>
      </c>
      <c r="AF71" s="34">
        <v>64.0</v>
      </c>
      <c r="AG71" s="34" t="s">
        <v>313</v>
      </c>
      <c r="AH71" s="34" t="s">
        <v>985</v>
      </c>
    </row>
    <row r="72">
      <c r="Z72" s="34">
        <v>2.0</v>
      </c>
      <c r="AA72" s="34">
        <v>4.0</v>
      </c>
      <c r="AB72" s="34">
        <v>3.0</v>
      </c>
      <c r="AC72" s="34">
        <v>3.0</v>
      </c>
      <c r="AD72" s="34">
        <v>2.0</v>
      </c>
      <c r="AE72" s="34">
        <v>30.0</v>
      </c>
      <c r="AF72" s="34">
        <v>60.0</v>
      </c>
      <c r="AG72" s="34" t="s">
        <v>313</v>
      </c>
      <c r="AH72" s="34" t="s">
        <v>985</v>
      </c>
    </row>
    <row r="73">
      <c r="Z73" s="34">
        <v>4.0</v>
      </c>
      <c r="AA73" s="34">
        <v>3.0</v>
      </c>
      <c r="AB73" s="34">
        <v>3.0</v>
      </c>
      <c r="AC73" s="34">
        <v>5.0</v>
      </c>
      <c r="AD73" s="34">
        <v>4.0</v>
      </c>
      <c r="AE73" s="34">
        <v>38.0</v>
      </c>
      <c r="AF73" s="34">
        <v>76.0</v>
      </c>
      <c r="AG73" s="34" t="s">
        <v>374</v>
      </c>
      <c r="AH73" s="34" t="s">
        <v>1005</v>
      </c>
    </row>
    <row r="74">
      <c r="Z74" s="34">
        <v>2.0</v>
      </c>
      <c r="AA74" s="34">
        <v>2.0</v>
      </c>
      <c r="AB74" s="34">
        <v>3.0</v>
      </c>
      <c r="AC74" s="34">
        <v>3.0</v>
      </c>
      <c r="AD74" s="34">
        <v>2.0</v>
      </c>
      <c r="AE74" s="34">
        <v>26.0</v>
      </c>
      <c r="AF74" s="34">
        <v>52.0</v>
      </c>
      <c r="AG74" s="34" t="s">
        <v>313</v>
      </c>
      <c r="AH74" s="34" t="s">
        <v>985</v>
      </c>
    </row>
    <row r="75">
      <c r="Z75" s="34">
        <v>2.0</v>
      </c>
      <c r="AA75" s="34">
        <v>1.0</v>
      </c>
      <c r="AB75" s="34">
        <v>2.0</v>
      </c>
      <c r="AC75" s="34">
        <v>3.0</v>
      </c>
      <c r="AD75" s="34">
        <v>2.0</v>
      </c>
      <c r="AE75" s="34">
        <v>21.0</v>
      </c>
      <c r="AF75" s="34">
        <v>42.0</v>
      </c>
      <c r="AG75" s="34" t="s">
        <v>164</v>
      </c>
      <c r="AH75" s="34" t="s">
        <v>208</v>
      </c>
    </row>
    <row r="76">
      <c r="Z76" s="34">
        <v>2.0</v>
      </c>
      <c r="AA76" s="34">
        <v>1.0</v>
      </c>
      <c r="AB76" s="34">
        <v>2.0</v>
      </c>
      <c r="AC76" s="34">
        <v>4.0</v>
      </c>
      <c r="AD76" s="34">
        <v>3.0</v>
      </c>
      <c r="AE76" s="34">
        <v>25.0</v>
      </c>
      <c r="AF76" s="34">
        <v>50.0</v>
      </c>
      <c r="AG76" s="34" t="s">
        <v>313</v>
      </c>
      <c r="AH76" s="34" t="s">
        <v>985</v>
      </c>
    </row>
    <row r="77">
      <c r="Z77" s="34">
        <v>4.0</v>
      </c>
      <c r="AA77" s="34">
        <v>2.0</v>
      </c>
      <c r="AB77" s="34">
        <v>3.0</v>
      </c>
      <c r="AC77" s="34">
        <v>3.0</v>
      </c>
      <c r="AD77" s="34">
        <v>2.0</v>
      </c>
      <c r="AE77" s="34">
        <v>28.0</v>
      </c>
      <c r="AF77" s="34">
        <v>56.00000000000001</v>
      </c>
      <c r="AG77" s="34" t="s">
        <v>313</v>
      </c>
      <c r="AH77" s="34" t="s">
        <v>985</v>
      </c>
    </row>
    <row r="78">
      <c r="Z78" s="34">
        <v>2.0</v>
      </c>
      <c r="AA78" s="34">
        <v>1.0</v>
      </c>
      <c r="AB78" s="34">
        <v>2.0</v>
      </c>
      <c r="AC78" s="34">
        <v>5.0</v>
      </c>
      <c r="AD78" s="34">
        <v>2.0</v>
      </c>
      <c r="AE78" s="34">
        <v>27.0</v>
      </c>
      <c r="AF78" s="34">
        <v>54.0</v>
      </c>
      <c r="AG78" s="34" t="s">
        <v>313</v>
      </c>
      <c r="AH78" s="34" t="s">
        <v>985</v>
      </c>
    </row>
    <row r="79">
      <c r="Z79" s="34">
        <v>2.0</v>
      </c>
      <c r="AA79" s="34">
        <v>2.0</v>
      </c>
      <c r="AB79" s="34">
        <v>4.0</v>
      </c>
      <c r="AC79" s="34">
        <v>3.0</v>
      </c>
      <c r="AD79" s="34">
        <v>3.0</v>
      </c>
      <c r="AE79" s="34">
        <v>30.0</v>
      </c>
      <c r="AF79" s="34">
        <v>60.0</v>
      </c>
      <c r="AG79" s="34" t="s">
        <v>313</v>
      </c>
      <c r="AH79" s="34" t="s">
        <v>985</v>
      </c>
    </row>
    <row r="80">
      <c r="Z80" s="34">
        <v>4.0</v>
      </c>
      <c r="AA80" s="34">
        <v>2.0</v>
      </c>
      <c r="AB80" s="34">
        <v>3.0</v>
      </c>
      <c r="AC80" s="34">
        <v>4.0</v>
      </c>
      <c r="AD80" s="34">
        <v>2.0</v>
      </c>
      <c r="AE80" s="34">
        <v>31.0</v>
      </c>
      <c r="AF80" s="34">
        <v>62.0</v>
      </c>
      <c r="AG80" s="34" t="s">
        <v>313</v>
      </c>
      <c r="AH80" s="34" t="s">
        <v>985</v>
      </c>
    </row>
    <row r="81">
      <c r="Z81" s="34">
        <v>4.0</v>
      </c>
      <c r="AA81" s="34">
        <v>1.0</v>
      </c>
      <c r="AB81" s="34">
        <v>3.0</v>
      </c>
      <c r="AC81" s="34">
        <v>0.0</v>
      </c>
      <c r="AD81" s="34">
        <v>2.0</v>
      </c>
      <c r="AE81" s="34">
        <v>17.0</v>
      </c>
      <c r="AF81" s="34">
        <v>34.0</v>
      </c>
      <c r="AG81" s="34" t="s">
        <v>164</v>
      </c>
      <c r="AH81" s="34" t="s">
        <v>208</v>
      </c>
    </row>
    <row r="82">
      <c r="Z82" s="34">
        <v>2.0</v>
      </c>
      <c r="AA82" s="34">
        <v>1.0</v>
      </c>
      <c r="AB82" s="34">
        <v>3.0</v>
      </c>
      <c r="AC82" s="34">
        <v>3.0</v>
      </c>
      <c r="AD82" s="34">
        <v>3.0</v>
      </c>
      <c r="AE82" s="34">
        <v>25.0</v>
      </c>
      <c r="AF82" s="34">
        <v>50.0</v>
      </c>
      <c r="AG82" s="34" t="s">
        <v>313</v>
      </c>
      <c r="AH82" s="34" t="s">
        <v>985</v>
      </c>
    </row>
    <row r="83">
      <c r="Z83" s="34">
        <v>3.0</v>
      </c>
      <c r="AA83" s="34">
        <v>2.0</v>
      </c>
      <c r="AB83" s="34">
        <v>3.0</v>
      </c>
      <c r="AC83" s="34">
        <v>3.0</v>
      </c>
      <c r="AD83" s="34">
        <v>2.0</v>
      </c>
      <c r="AE83" s="34">
        <v>27.0</v>
      </c>
      <c r="AF83" s="34">
        <v>54.0</v>
      </c>
      <c r="AG83" s="34" t="s">
        <v>313</v>
      </c>
      <c r="AH83" s="34" t="s">
        <v>985</v>
      </c>
    </row>
    <row r="84">
      <c r="Z84" s="34">
        <v>5.0</v>
      </c>
      <c r="AA84" s="34">
        <v>3.0</v>
      </c>
      <c r="AB84" s="34">
        <v>3.0</v>
      </c>
      <c r="AC84" s="34">
        <v>3.0</v>
      </c>
      <c r="AD84" s="34">
        <v>3.0</v>
      </c>
      <c r="AE84" s="34">
        <v>32.0</v>
      </c>
      <c r="AF84" s="34">
        <v>64.0</v>
      </c>
      <c r="AG84" s="34" t="s">
        <v>313</v>
      </c>
      <c r="AH84" s="34" t="s">
        <v>985</v>
      </c>
    </row>
    <row r="85">
      <c r="Z85" s="34">
        <v>4.0</v>
      </c>
      <c r="AA85" s="34">
        <v>2.0</v>
      </c>
      <c r="AB85" s="34">
        <v>3.0</v>
      </c>
      <c r="AC85" s="34">
        <v>4.0</v>
      </c>
      <c r="AD85" s="34">
        <v>3.0</v>
      </c>
      <c r="AE85" s="34">
        <v>32.0</v>
      </c>
      <c r="AF85" s="34">
        <v>64.0</v>
      </c>
      <c r="AG85" s="34" t="s">
        <v>313</v>
      </c>
      <c r="AH85" s="34" t="s">
        <v>985</v>
      </c>
    </row>
    <row r="86">
      <c r="Z86" s="34">
        <v>4.0</v>
      </c>
      <c r="AA86" s="34">
        <v>1.0</v>
      </c>
      <c r="AB86" s="34">
        <v>3.0</v>
      </c>
      <c r="AC86" s="34">
        <v>5.0</v>
      </c>
      <c r="AD86" s="34">
        <v>3.0</v>
      </c>
      <c r="AE86" s="34">
        <v>33.0</v>
      </c>
      <c r="AF86" s="34">
        <v>66.0</v>
      </c>
      <c r="AG86" s="34" t="s">
        <v>374</v>
      </c>
      <c r="AH86" s="34" t="s">
        <v>1005</v>
      </c>
    </row>
    <row r="87">
      <c r="Z87" s="34">
        <v>2.0</v>
      </c>
      <c r="AA87" s="34">
        <v>1.0</v>
      </c>
      <c r="AB87" s="34">
        <v>3.0</v>
      </c>
      <c r="AC87" s="34">
        <v>3.0</v>
      </c>
      <c r="AD87" s="34">
        <v>3.0</v>
      </c>
      <c r="AE87" s="34">
        <v>25.0</v>
      </c>
      <c r="AF87" s="34">
        <v>50.0</v>
      </c>
      <c r="AG87" s="34" t="s">
        <v>313</v>
      </c>
      <c r="AH87" s="34" t="s">
        <v>985</v>
      </c>
    </row>
    <row r="88">
      <c r="Z88" s="34">
        <v>2.0</v>
      </c>
      <c r="AA88" s="34">
        <v>1.0</v>
      </c>
      <c r="AB88" s="34">
        <v>4.0</v>
      </c>
      <c r="AC88" s="34">
        <v>2.0</v>
      </c>
      <c r="AD88" s="34">
        <v>3.0</v>
      </c>
      <c r="AE88" s="34">
        <v>25.0</v>
      </c>
      <c r="AF88" s="34">
        <v>50.0</v>
      </c>
      <c r="AG88" s="34" t="s">
        <v>313</v>
      </c>
      <c r="AH88" s="34" t="s">
        <v>985</v>
      </c>
    </row>
    <row r="89">
      <c r="Z89" s="34">
        <v>4.0</v>
      </c>
      <c r="AA89" s="34">
        <v>0.0</v>
      </c>
      <c r="AB89" s="34">
        <v>2.0</v>
      </c>
      <c r="AC89" s="34">
        <v>5.0</v>
      </c>
      <c r="AD89" s="34">
        <v>3.0</v>
      </c>
      <c r="AE89" s="34">
        <v>28.0</v>
      </c>
      <c r="AF89" s="34">
        <v>56.00000000000001</v>
      </c>
      <c r="AG89" s="34" t="s">
        <v>313</v>
      </c>
      <c r="AH89" s="34" t="s">
        <v>985</v>
      </c>
    </row>
    <row r="90">
      <c r="Z90" s="34">
        <v>2.0</v>
      </c>
      <c r="AA90" s="34">
        <v>2.0</v>
      </c>
      <c r="AB90" s="34">
        <v>2.0</v>
      </c>
      <c r="AC90" s="34">
        <v>4.0</v>
      </c>
      <c r="AD90" s="34">
        <v>3.0</v>
      </c>
      <c r="AE90" s="34">
        <v>27.0</v>
      </c>
      <c r="AF90" s="34">
        <v>54.0</v>
      </c>
      <c r="AG90" s="34" t="s">
        <v>313</v>
      </c>
      <c r="AH90" s="34" t="s">
        <v>985</v>
      </c>
    </row>
    <row r="91">
      <c r="Z91" s="34">
        <v>4.0</v>
      </c>
      <c r="AA91" s="34">
        <v>3.0</v>
      </c>
      <c r="AB91" s="34">
        <v>3.0</v>
      </c>
      <c r="AC91" s="34">
        <v>5.0</v>
      </c>
      <c r="AD91" s="34">
        <v>3.0</v>
      </c>
      <c r="AE91" s="34">
        <v>37.0</v>
      </c>
      <c r="AF91" s="34">
        <v>74.0</v>
      </c>
      <c r="AG91" s="34" t="s">
        <v>374</v>
      </c>
      <c r="AH91" s="34" t="s">
        <v>1005</v>
      </c>
    </row>
    <row r="92">
      <c r="Z92" s="34">
        <v>5.0</v>
      </c>
      <c r="AA92" s="34">
        <v>3.0</v>
      </c>
      <c r="AB92" s="34">
        <v>3.0</v>
      </c>
      <c r="AC92" s="34">
        <v>5.0</v>
      </c>
      <c r="AD92" s="34">
        <v>3.0</v>
      </c>
      <c r="AE92" s="34">
        <v>38.0</v>
      </c>
      <c r="AF92" s="34">
        <v>76.0</v>
      </c>
      <c r="AG92" s="34" t="s">
        <v>374</v>
      </c>
      <c r="AH92" s="34" t="s">
        <v>1005</v>
      </c>
    </row>
    <row r="93">
      <c r="Z93" s="34">
        <v>4.0</v>
      </c>
      <c r="AA93" s="34">
        <v>2.0</v>
      </c>
      <c r="AB93" s="34">
        <v>3.0</v>
      </c>
      <c r="AC93" s="34">
        <v>3.0</v>
      </c>
      <c r="AD93" s="34">
        <v>2.0</v>
      </c>
      <c r="AE93" s="34">
        <v>28.0</v>
      </c>
      <c r="AF93" s="34">
        <v>56.00000000000001</v>
      </c>
      <c r="AG93" s="34" t="s">
        <v>313</v>
      </c>
      <c r="AH93" s="34" t="s">
        <v>985</v>
      </c>
    </row>
    <row r="94">
      <c r="Z94" s="34">
        <v>4.0</v>
      </c>
      <c r="AA94" s="34">
        <v>3.0</v>
      </c>
      <c r="AB94" s="34">
        <v>3.0</v>
      </c>
      <c r="AC94" s="34">
        <v>5.0</v>
      </c>
      <c r="AD94" s="34">
        <v>3.0</v>
      </c>
      <c r="AE94" s="34">
        <v>37.0</v>
      </c>
      <c r="AF94" s="34">
        <v>74.0</v>
      </c>
      <c r="AG94" s="34" t="s">
        <v>374</v>
      </c>
      <c r="AH94" s="34" t="s">
        <v>1005</v>
      </c>
    </row>
    <row r="95">
      <c r="Z95" s="34">
        <v>4.0</v>
      </c>
      <c r="AA95" s="34">
        <v>1.0</v>
      </c>
      <c r="AB95" s="34">
        <v>2.0</v>
      </c>
      <c r="AC95" s="34">
        <v>0.0</v>
      </c>
      <c r="AD95" s="34">
        <v>2.0</v>
      </c>
      <c r="AE95" s="34">
        <v>14.0</v>
      </c>
      <c r="AF95" s="34">
        <v>28.000000000000004</v>
      </c>
      <c r="AG95" s="34" t="s">
        <v>252</v>
      </c>
      <c r="AH95" s="34" t="s">
        <v>971</v>
      </c>
    </row>
    <row r="96">
      <c r="Z96" s="34">
        <v>2.0</v>
      </c>
      <c r="AA96" s="34">
        <v>1.0</v>
      </c>
      <c r="AB96" s="34">
        <v>2.0</v>
      </c>
      <c r="AC96" s="34">
        <v>5.0</v>
      </c>
      <c r="AD96" s="34">
        <v>2.0</v>
      </c>
      <c r="AE96" s="34">
        <v>27.0</v>
      </c>
      <c r="AF96" s="34">
        <v>54.0</v>
      </c>
      <c r="AG96" s="34" t="s">
        <v>313</v>
      </c>
      <c r="AH96" s="34" t="s">
        <v>985</v>
      </c>
    </row>
    <row r="97">
      <c r="Z97" s="34">
        <v>2.0</v>
      </c>
      <c r="AA97" s="34">
        <v>1.0</v>
      </c>
      <c r="AB97" s="34">
        <v>2.0</v>
      </c>
      <c r="AC97" s="34">
        <v>4.0</v>
      </c>
      <c r="AD97" s="34">
        <v>1.0</v>
      </c>
      <c r="AE97" s="34">
        <v>23.0</v>
      </c>
      <c r="AF97" s="34">
        <v>46.0</v>
      </c>
      <c r="AG97" s="34" t="s">
        <v>164</v>
      </c>
      <c r="AH97" s="34" t="s">
        <v>208</v>
      </c>
    </row>
    <row r="98">
      <c r="Z98" s="34">
        <v>2.0</v>
      </c>
      <c r="AA98" s="34">
        <v>1.0</v>
      </c>
      <c r="AB98" s="34">
        <v>2.0</v>
      </c>
      <c r="AC98" s="34">
        <v>4.0</v>
      </c>
      <c r="AD98" s="34">
        <v>2.0</v>
      </c>
      <c r="AE98" s="34">
        <v>24.0</v>
      </c>
      <c r="AF98" s="34">
        <v>48.0</v>
      </c>
      <c r="AG98" s="34" t="s">
        <v>164</v>
      </c>
      <c r="AH98" s="34" t="s">
        <v>208</v>
      </c>
    </row>
    <row r="99">
      <c r="Z99" s="34">
        <v>2.0</v>
      </c>
      <c r="AA99" s="34">
        <v>2.0</v>
      </c>
      <c r="AB99" s="34">
        <v>3.0</v>
      </c>
      <c r="AC99" s="34">
        <v>5.0</v>
      </c>
      <c r="AD99" s="34">
        <v>3.0</v>
      </c>
      <c r="AE99" s="34">
        <v>33.0</v>
      </c>
      <c r="AF99" s="34">
        <v>66.0</v>
      </c>
      <c r="AG99" s="34" t="s">
        <v>374</v>
      </c>
      <c r="AH99" s="34" t="s">
        <v>1005</v>
      </c>
    </row>
    <row r="100">
      <c r="Z100" s="34">
        <v>2.0</v>
      </c>
      <c r="AA100" s="34">
        <v>2.0</v>
      </c>
      <c r="AB100" s="34">
        <v>2.0</v>
      </c>
      <c r="AC100" s="34">
        <v>3.0</v>
      </c>
      <c r="AD100" s="34">
        <v>3.0</v>
      </c>
      <c r="AE100" s="34">
        <v>24.0</v>
      </c>
      <c r="AF100" s="34">
        <v>48.0</v>
      </c>
      <c r="AG100" s="34" t="s">
        <v>164</v>
      </c>
      <c r="AH100" s="34" t="s">
        <v>208</v>
      </c>
    </row>
    <row r="101">
      <c r="Z101" s="34">
        <v>5.0</v>
      </c>
      <c r="AA101" s="34">
        <v>3.0</v>
      </c>
      <c r="AB101" s="34">
        <v>3.0</v>
      </c>
      <c r="AC101" s="34">
        <v>4.0</v>
      </c>
      <c r="AD101" s="34">
        <v>3.0</v>
      </c>
      <c r="AE101" s="34">
        <v>35.0</v>
      </c>
      <c r="AF101" s="34">
        <v>70.0</v>
      </c>
      <c r="AG101" s="34" t="s">
        <v>374</v>
      </c>
      <c r="AH101" s="34" t="s">
        <v>1005</v>
      </c>
    </row>
    <row r="102">
      <c r="Z102" s="34">
        <v>4.0</v>
      </c>
      <c r="AA102" s="34">
        <v>2.0</v>
      </c>
      <c r="AB102" s="34">
        <v>3.0</v>
      </c>
      <c r="AC102" s="34">
        <v>5.0</v>
      </c>
      <c r="AD102" s="34">
        <v>3.0</v>
      </c>
      <c r="AE102" s="34">
        <v>35.0</v>
      </c>
      <c r="AF102" s="34">
        <v>70.0</v>
      </c>
      <c r="AG102" s="34" t="s">
        <v>374</v>
      </c>
      <c r="AH102" s="34" t="s">
        <v>1005</v>
      </c>
    </row>
    <row r="103">
      <c r="Z103" s="34">
        <v>4.0</v>
      </c>
      <c r="AA103" s="34">
        <v>2.0</v>
      </c>
      <c r="AB103" s="34">
        <v>3.0</v>
      </c>
      <c r="AC103" s="34">
        <v>5.0</v>
      </c>
      <c r="AD103" s="34">
        <v>3.0</v>
      </c>
      <c r="AE103" s="34">
        <v>35.0</v>
      </c>
      <c r="AF103" s="34">
        <v>70.0</v>
      </c>
      <c r="AG103" s="34" t="s">
        <v>374</v>
      </c>
      <c r="AH103" s="34" t="s">
        <v>1005</v>
      </c>
    </row>
    <row r="104">
      <c r="Z104" s="34">
        <v>3.0</v>
      </c>
      <c r="AA104" s="34">
        <v>1.0</v>
      </c>
      <c r="AB104" s="34">
        <v>3.0</v>
      </c>
      <c r="AC104" s="34">
        <v>4.0</v>
      </c>
      <c r="AD104" s="34">
        <v>2.0</v>
      </c>
      <c r="AE104" s="34">
        <v>28.0</v>
      </c>
      <c r="AF104" s="34">
        <v>56.00000000000001</v>
      </c>
      <c r="AG104" s="34" t="s">
        <v>313</v>
      </c>
      <c r="AH104" s="34" t="s">
        <v>985</v>
      </c>
    </row>
    <row r="105">
      <c r="Z105" s="34">
        <v>3.0</v>
      </c>
      <c r="AA105" s="34">
        <v>1.0</v>
      </c>
      <c r="AB105" s="34">
        <v>3.0</v>
      </c>
      <c r="AC105" s="34">
        <v>3.0</v>
      </c>
      <c r="AD105" s="34">
        <v>3.0</v>
      </c>
      <c r="AE105" s="34">
        <v>26.0</v>
      </c>
      <c r="AF105" s="34">
        <v>52.0</v>
      </c>
      <c r="AG105" s="34" t="s">
        <v>313</v>
      </c>
      <c r="AH105" s="34" t="s">
        <v>985</v>
      </c>
    </row>
    <row r="106">
      <c r="Z106" s="34">
        <v>3.0</v>
      </c>
      <c r="AA106" s="34">
        <v>2.0</v>
      </c>
      <c r="AB106" s="34">
        <v>3.0</v>
      </c>
      <c r="AC106" s="34">
        <v>2.0</v>
      </c>
      <c r="AD106" s="34">
        <v>3.0</v>
      </c>
      <c r="AE106" s="34">
        <v>25.0</v>
      </c>
      <c r="AF106" s="34">
        <v>50.0</v>
      </c>
      <c r="AG106" s="34" t="s">
        <v>313</v>
      </c>
      <c r="AH106" s="34" t="s">
        <v>985</v>
      </c>
    </row>
    <row r="107">
      <c r="Z107" s="34">
        <v>3.0</v>
      </c>
      <c r="AA107" s="34">
        <v>1.0</v>
      </c>
      <c r="AB107" s="34">
        <v>3.0</v>
      </c>
      <c r="AC107" s="34">
        <v>5.0</v>
      </c>
      <c r="AD107" s="34">
        <v>3.0</v>
      </c>
      <c r="AE107" s="34">
        <v>32.0</v>
      </c>
      <c r="AF107" s="34">
        <v>64.0</v>
      </c>
      <c r="AG107" s="34" t="s">
        <v>313</v>
      </c>
      <c r="AH107" s="34" t="s">
        <v>985</v>
      </c>
    </row>
    <row r="108">
      <c r="Z108" s="34">
        <v>4.0</v>
      </c>
      <c r="AA108" s="34">
        <v>2.0</v>
      </c>
      <c r="AB108" s="34">
        <v>3.0</v>
      </c>
      <c r="AC108" s="34">
        <v>4.0</v>
      </c>
      <c r="AD108" s="34">
        <v>3.0</v>
      </c>
      <c r="AE108" s="34">
        <v>32.0</v>
      </c>
      <c r="AF108" s="34">
        <v>64.0</v>
      </c>
      <c r="AG108" s="34" t="s">
        <v>313</v>
      </c>
      <c r="AH108" s="34" t="s">
        <v>985</v>
      </c>
    </row>
    <row r="109">
      <c r="Z109" s="34">
        <v>3.0</v>
      </c>
      <c r="AA109" s="34">
        <v>2.0</v>
      </c>
      <c r="AB109" s="34">
        <v>3.0</v>
      </c>
      <c r="AC109" s="34">
        <v>5.0</v>
      </c>
      <c r="AD109" s="34">
        <v>3.0</v>
      </c>
      <c r="AE109" s="34">
        <v>34.0</v>
      </c>
      <c r="AF109" s="34">
        <v>68.0</v>
      </c>
      <c r="AG109" s="34" t="s">
        <v>374</v>
      </c>
      <c r="AH109" s="34" t="s">
        <v>1005</v>
      </c>
    </row>
    <row r="110">
      <c r="Z110" s="34">
        <v>4.0</v>
      </c>
      <c r="AA110" s="34">
        <v>2.0</v>
      </c>
      <c r="AB110" s="34">
        <v>3.0</v>
      </c>
      <c r="AC110" s="34">
        <v>5.0</v>
      </c>
      <c r="AD110" s="34">
        <v>3.0</v>
      </c>
      <c r="AE110" s="34">
        <v>35.0</v>
      </c>
      <c r="AF110" s="34">
        <v>70.0</v>
      </c>
      <c r="AG110" s="34" t="s">
        <v>374</v>
      </c>
      <c r="AH110" s="34" t="s">
        <v>1005</v>
      </c>
    </row>
    <row r="111">
      <c r="Z111" s="34">
        <v>4.0</v>
      </c>
      <c r="AA111" s="34">
        <v>3.0</v>
      </c>
      <c r="AB111" s="34">
        <v>3.0</v>
      </c>
      <c r="AC111" s="34">
        <v>4.0</v>
      </c>
      <c r="AD111" s="34">
        <v>3.0</v>
      </c>
      <c r="AE111" s="34">
        <v>34.0</v>
      </c>
      <c r="AF111" s="34">
        <v>68.0</v>
      </c>
      <c r="AG111" s="34" t="s">
        <v>374</v>
      </c>
      <c r="AH111" s="34" t="s">
        <v>1005</v>
      </c>
    </row>
    <row r="112">
      <c r="Z112" s="34">
        <v>4.0</v>
      </c>
      <c r="AA112" s="34">
        <v>2.0</v>
      </c>
      <c r="AB112" s="34">
        <v>3.0</v>
      </c>
      <c r="AC112" s="34">
        <v>5.0</v>
      </c>
      <c r="AD112" s="34">
        <v>3.0</v>
      </c>
      <c r="AE112" s="34">
        <v>35.0</v>
      </c>
      <c r="AF112" s="34">
        <v>70.0</v>
      </c>
      <c r="AG112" s="34" t="s">
        <v>374</v>
      </c>
      <c r="AH112" s="34" t="s">
        <v>1005</v>
      </c>
    </row>
    <row r="113">
      <c r="Z113" s="34">
        <v>3.0</v>
      </c>
      <c r="AA113" s="34">
        <v>3.0</v>
      </c>
      <c r="AB113" s="34">
        <v>2.0</v>
      </c>
      <c r="AC113" s="34">
        <v>4.0</v>
      </c>
      <c r="AD113" s="34">
        <v>2.0</v>
      </c>
      <c r="AE113" s="34">
        <v>29.0</v>
      </c>
      <c r="AF113" s="34">
        <v>57.99999999999999</v>
      </c>
      <c r="AG113" s="34" t="s">
        <v>313</v>
      </c>
      <c r="AH113" s="34" t="s">
        <v>985</v>
      </c>
    </row>
    <row r="114">
      <c r="Z114" s="34">
        <v>4.0</v>
      </c>
      <c r="AA114" s="34">
        <v>2.0</v>
      </c>
      <c r="AB114" s="34">
        <v>3.0</v>
      </c>
      <c r="AC114" s="34">
        <v>5.0</v>
      </c>
      <c r="AD114" s="34">
        <v>3.0</v>
      </c>
      <c r="AE114" s="34">
        <v>35.0</v>
      </c>
      <c r="AF114" s="34">
        <v>70.0</v>
      </c>
      <c r="AG114" s="34" t="s">
        <v>374</v>
      </c>
      <c r="AH114" s="34" t="s">
        <v>1005</v>
      </c>
    </row>
    <row r="115">
      <c r="Z115" s="34">
        <v>4.0</v>
      </c>
      <c r="AA115" s="34">
        <v>2.0</v>
      </c>
      <c r="AB115" s="34">
        <v>3.0</v>
      </c>
      <c r="AC115" s="34">
        <v>5.0</v>
      </c>
      <c r="AD115" s="34">
        <v>3.0</v>
      </c>
      <c r="AE115" s="34">
        <v>35.0</v>
      </c>
      <c r="AF115" s="34">
        <v>70.0</v>
      </c>
      <c r="AG115" s="34" t="s">
        <v>374</v>
      </c>
      <c r="AH115" s="34" t="s">
        <v>1005</v>
      </c>
    </row>
    <row r="116">
      <c r="Z116" s="34">
        <v>2.0</v>
      </c>
      <c r="AA116" s="34">
        <v>1.0</v>
      </c>
      <c r="AB116" s="34">
        <v>2.0</v>
      </c>
      <c r="AC116" s="34">
        <v>5.0</v>
      </c>
      <c r="AD116" s="34">
        <v>2.0</v>
      </c>
      <c r="AE116" s="34">
        <v>27.0</v>
      </c>
      <c r="AF116" s="34">
        <v>54.0</v>
      </c>
      <c r="AG116" s="34" t="s">
        <v>313</v>
      </c>
      <c r="AH116" s="34" t="s">
        <v>985</v>
      </c>
    </row>
    <row r="117">
      <c r="Z117" s="34">
        <v>3.0</v>
      </c>
      <c r="AA117" s="34">
        <v>1.0</v>
      </c>
      <c r="AB117" s="34">
        <v>3.0</v>
      </c>
      <c r="AC117" s="34">
        <v>4.0</v>
      </c>
      <c r="AD117" s="34">
        <v>2.0</v>
      </c>
      <c r="AE117" s="34">
        <v>28.0</v>
      </c>
      <c r="AF117" s="34">
        <v>56.00000000000001</v>
      </c>
      <c r="AG117" s="34" t="s">
        <v>313</v>
      </c>
      <c r="AH117" s="34" t="s">
        <v>985</v>
      </c>
    </row>
    <row r="118">
      <c r="Z118" s="34">
        <v>3.0</v>
      </c>
      <c r="AA118" s="34">
        <v>1.0</v>
      </c>
      <c r="AB118" s="34">
        <v>3.0</v>
      </c>
      <c r="AC118" s="34">
        <v>5.0</v>
      </c>
      <c r="AD118" s="34">
        <v>3.0</v>
      </c>
      <c r="AE118" s="34">
        <v>32.0</v>
      </c>
      <c r="AF118" s="34">
        <v>64.0</v>
      </c>
      <c r="AG118" s="34" t="s">
        <v>313</v>
      </c>
      <c r="AH118" s="34" t="s">
        <v>985</v>
      </c>
    </row>
    <row r="119">
      <c r="Z119" s="34">
        <v>3.0</v>
      </c>
      <c r="AA119" s="34">
        <v>1.0</v>
      </c>
      <c r="AB119" s="34">
        <v>3.0</v>
      </c>
      <c r="AC119" s="34">
        <v>5.0</v>
      </c>
      <c r="AD119" s="34">
        <v>3.0</v>
      </c>
      <c r="AE119" s="34">
        <v>32.0</v>
      </c>
      <c r="AF119" s="34">
        <v>64.0</v>
      </c>
      <c r="AG119" s="34" t="s">
        <v>313</v>
      </c>
      <c r="AH119" s="34" t="s">
        <v>985</v>
      </c>
    </row>
    <row r="120">
      <c r="Z120" s="34">
        <v>3.0</v>
      </c>
      <c r="AA120" s="34">
        <v>1.0</v>
      </c>
      <c r="AB120" s="34">
        <v>3.0</v>
      </c>
      <c r="AC120" s="34">
        <v>3.0</v>
      </c>
      <c r="AD120" s="34">
        <v>3.0</v>
      </c>
      <c r="AE120" s="34">
        <v>26.0</v>
      </c>
      <c r="AF120" s="34">
        <v>52.0</v>
      </c>
      <c r="AG120" s="34" t="s">
        <v>313</v>
      </c>
      <c r="AH120" s="34" t="s">
        <v>985</v>
      </c>
    </row>
    <row r="121">
      <c r="Z121" s="34">
        <v>3.0</v>
      </c>
      <c r="AA121" s="34">
        <v>1.0</v>
      </c>
      <c r="AB121" s="34">
        <v>3.0</v>
      </c>
      <c r="AC121" s="34">
        <v>5.0</v>
      </c>
      <c r="AD121" s="34">
        <v>3.0</v>
      </c>
      <c r="AE121" s="34">
        <v>32.0</v>
      </c>
      <c r="AF121" s="34">
        <v>64.0</v>
      </c>
      <c r="AG121" s="34" t="s">
        <v>313</v>
      </c>
      <c r="AH121" s="34" t="s">
        <v>985</v>
      </c>
    </row>
    <row r="122">
      <c r="Z122" s="34">
        <v>3.0</v>
      </c>
      <c r="AA122" s="34">
        <v>1.0</v>
      </c>
      <c r="AB122" s="34">
        <v>2.0</v>
      </c>
      <c r="AC122" s="34">
        <v>4.0</v>
      </c>
      <c r="AD122" s="34">
        <v>2.0</v>
      </c>
      <c r="AE122" s="34">
        <v>25.0</v>
      </c>
      <c r="AF122" s="34">
        <v>50.0</v>
      </c>
      <c r="AG122" s="34" t="s">
        <v>313</v>
      </c>
      <c r="AH122" s="34" t="s">
        <v>985</v>
      </c>
    </row>
    <row r="123">
      <c r="Z123" s="34">
        <v>4.0</v>
      </c>
      <c r="AA123" s="34">
        <v>2.0</v>
      </c>
      <c r="AB123" s="34">
        <v>3.0</v>
      </c>
      <c r="AC123" s="34">
        <v>4.0</v>
      </c>
      <c r="AD123" s="34">
        <v>2.0</v>
      </c>
      <c r="AE123" s="34">
        <v>31.0</v>
      </c>
      <c r="AF123" s="34">
        <v>62.0</v>
      </c>
      <c r="AG123" s="34" t="s">
        <v>313</v>
      </c>
      <c r="AH123" s="34" t="s">
        <v>985</v>
      </c>
    </row>
    <row r="124">
      <c r="Z124" s="34">
        <v>4.0</v>
      </c>
      <c r="AA124" s="34">
        <v>2.0</v>
      </c>
      <c r="AB124" s="34">
        <v>3.0</v>
      </c>
      <c r="AC124" s="34">
        <v>2.0</v>
      </c>
      <c r="AD124" s="34">
        <v>2.0</v>
      </c>
      <c r="AE124" s="34">
        <v>25.0</v>
      </c>
      <c r="AF124" s="34">
        <v>50.0</v>
      </c>
      <c r="AG124" s="34" t="s">
        <v>313</v>
      </c>
      <c r="AH124" s="34" t="s">
        <v>985</v>
      </c>
    </row>
    <row r="125">
      <c r="Z125" s="34">
        <v>3.0</v>
      </c>
      <c r="AA125" s="34">
        <v>1.0</v>
      </c>
      <c r="AB125" s="34">
        <v>3.0</v>
      </c>
      <c r="AC125" s="34">
        <v>0.0</v>
      </c>
      <c r="AD125" s="34">
        <v>3.0</v>
      </c>
      <c r="AE125" s="34">
        <v>17.0</v>
      </c>
      <c r="AF125" s="34">
        <v>34.0</v>
      </c>
      <c r="AG125" s="34" t="s">
        <v>164</v>
      </c>
      <c r="AH125" s="34" t="s">
        <v>208</v>
      </c>
    </row>
    <row r="126">
      <c r="Z126" s="34">
        <v>4.0</v>
      </c>
      <c r="AA126" s="34">
        <v>2.0</v>
      </c>
      <c r="AB126" s="34">
        <v>3.0</v>
      </c>
      <c r="AC126" s="34">
        <v>1.0</v>
      </c>
      <c r="AD126" s="34">
        <v>3.0</v>
      </c>
      <c r="AE126" s="34">
        <v>23.0</v>
      </c>
      <c r="AF126" s="34">
        <v>46.0</v>
      </c>
      <c r="AG126" s="34" t="s">
        <v>164</v>
      </c>
      <c r="AH126" s="34" t="s">
        <v>208</v>
      </c>
    </row>
    <row r="127">
      <c r="Z127" s="34">
        <v>3.0</v>
      </c>
      <c r="AA127" s="34">
        <v>1.0</v>
      </c>
      <c r="AB127" s="34">
        <v>3.0</v>
      </c>
      <c r="AC127" s="34">
        <v>4.0</v>
      </c>
      <c r="AD127" s="34">
        <v>2.0</v>
      </c>
      <c r="AE127" s="34">
        <v>28.0</v>
      </c>
      <c r="AF127" s="34">
        <v>56.00000000000001</v>
      </c>
      <c r="AG127" s="34" t="s">
        <v>313</v>
      </c>
      <c r="AH127" s="34" t="s">
        <v>985</v>
      </c>
    </row>
    <row r="128">
      <c r="Z128" s="34">
        <v>4.0</v>
      </c>
      <c r="AA128" s="34">
        <v>2.0</v>
      </c>
      <c r="AB128" s="34">
        <v>3.0</v>
      </c>
      <c r="AC128" s="34">
        <v>4.0</v>
      </c>
      <c r="AD128" s="34">
        <v>3.0</v>
      </c>
      <c r="AE128" s="34">
        <v>32.0</v>
      </c>
      <c r="AF128" s="34">
        <v>64.0</v>
      </c>
      <c r="AG128" s="34" t="s">
        <v>313</v>
      </c>
      <c r="AH128" s="34" t="s">
        <v>985</v>
      </c>
    </row>
    <row r="129">
      <c r="Z129" s="34">
        <v>4.0</v>
      </c>
      <c r="AA129" s="34">
        <v>2.0</v>
      </c>
      <c r="AB129" s="34">
        <v>3.0</v>
      </c>
      <c r="AC129" s="34">
        <v>3.0</v>
      </c>
      <c r="AD129" s="34">
        <v>3.0</v>
      </c>
      <c r="AE129" s="34">
        <v>29.0</v>
      </c>
      <c r="AF129" s="34">
        <v>57.99999999999999</v>
      </c>
      <c r="AG129" s="34" t="s">
        <v>313</v>
      </c>
      <c r="AH129" s="34" t="s">
        <v>985</v>
      </c>
    </row>
    <row r="130">
      <c r="Z130" s="34">
        <v>4.0</v>
      </c>
      <c r="AA130" s="34">
        <v>2.0</v>
      </c>
      <c r="AB130" s="34">
        <v>3.0</v>
      </c>
      <c r="AC130" s="34">
        <v>4.0</v>
      </c>
      <c r="AD130" s="34">
        <v>2.0</v>
      </c>
      <c r="AE130" s="34">
        <v>31.0</v>
      </c>
      <c r="AF130" s="34">
        <v>62.0</v>
      </c>
      <c r="AG130" s="34" t="s">
        <v>313</v>
      </c>
      <c r="AH130" s="34" t="s">
        <v>985</v>
      </c>
    </row>
    <row r="131">
      <c r="Z131" s="34">
        <v>5.0</v>
      </c>
      <c r="AA131" s="34">
        <v>2.0</v>
      </c>
      <c r="AB131" s="34">
        <v>3.0</v>
      </c>
      <c r="AC131" s="34">
        <v>3.0</v>
      </c>
      <c r="AD131" s="34">
        <v>3.0</v>
      </c>
      <c r="AE131" s="34">
        <v>30.0</v>
      </c>
      <c r="AF131" s="34">
        <v>60.0</v>
      </c>
      <c r="AG131" s="34" t="s">
        <v>313</v>
      </c>
      <c r="AH131" s="34" t="s">
        <v>985</v>
      </c>
    </row>
    <row r="132">
      <c r="Z132" s="34">
        <v>4.0</v>
      </c>
      <c r="AA132" s="34">
        <v>2.0</v>
      </c>
      <c r="AB132" s="34">
        <v>3.0</v>
      </c>
      <c r="AC132" s="34">
        <v>1.0</v>
      </c>
      <c r="AD132" s="34">
        <v>3.0</v>
      </c>
      <c r="AE132" s="34">
        <v>23.0</v>
      </c>
      <c r="AF132" s="34">
        <v>46.0</v>
      </c>
      <c r="AG132" s="34" t="s">
        <v>164</v>
      </c>
      <c r="AH132" s="34" t="s">
        <v>208</v>
      </c>
    </row>
    <row r="133">
      <c r="Z133" s="34">
        <v>2.0</v>
      </c>
      <c r="AA133" s="34">
        <v>3.0</v>
      </c>
      <c r="AB133" s="34">
        <v>3.0</v>
      </c>
      <c r="AC133" s="34">
        <v>4.0</v>
      </c>
      <c r="AD133" s="34">
        <v>2.0</v>
      </c>
      <c r="AE133" s="34">
        <v>31.0</v>
      </c>
      <c r="AF133" s="34">
        <v>62.0</v>
      </c>
      <c r="AG133" s="34" t="s">
        <v>313</v>
      </c>
      <c r="AH133" s="34" t="s">
        <v>985</v>
      </c>
    </row>
    <row r="134">
      <c r="Z134" s="34">
        <v>1.0</v>
      </c>
      <c r="AA134" s="34">
        <v>3.0</v>
      </c>
      <c r="AB134" s="34">
        <v>3.0</v>
      </c>
      <c r="AC134" s="34">
        <v>3.0</v>
      </c>
      <c r="AD134" s="34">
        <v>3.0</v>
      </c>
      <c r="AE134" s="34">
        <v>28.0</v>
      </c>
      <c r="AF134" s="34">
        <v>56.00000000000001</v>
      </c>
      <c r="AG134" s="34" t="s">
        <v>313</v>
      </c>
      <c r="AH134" s="34" t="s">
        <v>985</v>
      </c>
    </row>
    <row r="135">
      <c r="Z135" s="34">
        <v>4.0</v>
      </c>
      <c r="AA135" s="34">
        <v>2.0</v>
      </c>
      <c r="AB135" s="34">
        <v>3.0</v>
      </c>
      <c r="AC135" s="34">
        <v>5.0</v>
      </c>
      <c r="AD135" s="34">
        <v>3.0</v>
      </c>
      <c r="AE135" s="34">
        <v>35.0</v>
      </c>
      <c r="AF135" s="34">
        <v>70.0</v>
      </c>
      <c r="AG135" s="34" t="s">
        <v>374</v>
      </c>
      <c r="AH135" s="34" t="s">
        <v>1005</v>
      </c>
    </row>
    <row r="136">
      <c r="Z136" s="34">
        <v>4.0</v>
      </c>
      <c r="AA136" s="34">
        <v>2.0</v>
      </c>
      <c r="AB136" s="34">
        <v>3.0</v>
      </c>
      <c r="AC136" s="34">
        <v>5.0</v>
      </c>
      <c r="AD136" s="34">
        <v>3.0</v>
      </c>
      <c r="AE136" s="34">
        <v>35.0</v>
      </c>
      <c r="AF136" s="34">
        <v>70.0</v>
      </c>
      <c r="AG136" s="34" t="s">
        <v>374</v>
      </c>
      <c r="AH136" s="34" t="s">
        <v>1005</v>
      </c>
    </row>
    <row r="137">
      <c r="Z137" s="34">
        <v>1.0</v>
      </c>
      <c r="AA137" s="34">
        <v>1.0</v>
      </c>
      <c r="AB137" s="34">
        <v>1.0</v>
      </c>
      <c r="AC137" s="34">
        <v>1.0</v>
      </c>
      <c r="AD137" s="34">
        <v>2.0</v>
      </c>
      <c r="AE137" s="34">
        <v>11.0</v>
      </c>
      <c r="AF137" s="34">
        <v>22.0</v>
      </c>
      <c r="AG137" s="34" t="s">
        <v>252</v>
      </c>
      <c r="AH137" s="34" t="s">
        <v>971</v>
      </c>
    </row>
    <row r="138">
      <c r="Z138" s="34">
        <v>2.0</v>
      </c>
      <c r="AA138" s="34">
        <v>2.0</v>
      </c>
      <c r="AB138" s="34">
        <v>3.0</v>
      </c>
      <c r="AC138" s="34">
        <v>4.0</v>
      </c>
      <c r="AD138" s="34">
        <v>3.0</v>
      </c>
      <c r="AE138" s="34">
        <v>30.0</v>
      </c>
      <c r="AF138" s="34">
        <v>60.0</v>
      </c>
      <c r="AG138" s="34" t="s">
        <v>313</v>
      </c>
      <c r="AH138" s="34" t="s">
        <v>985</v>
      </c>
    </row>
    <row r="139">
      <c r="Z139" s="34">
        <v>4.0</v>
      </c>
      <c r="AA139" s="34">
        <v>2.0</v>
      </c>
      <c r="AB139" s="34">
        <v>3.0</v>
      </c>
      <c r="AC139" s="34">
        <v>4.0</v>
      </c>
      <c r="AD139" s="34">
        <v>3.0</v>
      </c>
      <c r="AE139" s="34">
        <v>32.0</v>
      </c>
      <c r="AF139" s="34">
        <v>64.0</v>
      </c>
      <c r="AG139" s="34" t="s">
        <v>313</v>
      </c>
      <c r="AH139" s="34" t="s">
        <v>985</v>
      </c>
    </row>
    <row r="140">
      <c r="Z140" s="34">
        <v>3.0</v>
      </c>
      <c r="AA140" s="34">
        <v>1.0</v>
      </c>
      <c r="AB140" s="34">
        <v>3.0</v>
      </c>
      <c r="AC140" s="34">
        <v>5.0</v>
      </c>
      <c r="AD140" s="34">
        <v>3.0</v>
      </c>
      <c r="AE140" s="34">
        <v>32.0</v>
      </c>
      <c r="AF140" s="34">
        <v>64.0</v>
      </c>
      <c r="AG140" s="34" t="s">
        <v>313</v>
      </c>
      <c r="AH140" s="34" t="s">
        <v>985</v>
      </c>
    </row>
    <row r="141">
      <c r="Z141" s="34">
        <v>5.0</v>
      </c>
      <c r="AA141" s="34">
        <v>2.0</v>
      </c>
      <c r="AB141" s="34">
        <v>3.0</v>
      </c>
      <c r="AC141" s="34">
        <v>5.0</v>
      </c>
      <c r="AD141" s="34">
        <v>3.0</v>
      </c>
      <c r="AE141" s="34">
        <v>36.0</v>
      </c>
      <c r="AF141" s="34">
        <v>72.0</v>
      </c>
      <c r="AG141" s="34" t="s">
        <v>374</v>
      </c>
      <c r="AH141" s="34" t="s">
        <v>1005</v>
      </c>
    </row>
    <row r="142">
      <c r="Z142" s="34">
        <v>4.0</v>
      </c>
      <c r="AA142" s="34">
        <v>2.0</v>
      </c>
      <c r="AB142" s="34">
        <v>3.0</v>
      </c>
      <c r="AC142" s="34">
        <v>5.0</v>
      </c>
      <c r="AD142" s="34">
        <v>3.0</v>
      </c>
      <c r="AE142" s="34">
        <v>35.0</v>
      </c>
      <c r="AF142" s="34">
        <v>70.0</v>
      </c>
      <c r="AG142" s="34" t="s">
        <v>374</v>
      </c>
      <c r="AH142" s="34" t="s">
        <v>1005</v>
      </c>
    </row>
    <row r="143">
      <c r="Z143" s="34">
        <v>4.0</v>
      </c>
      <c r="AA143" s="34">
        <v>2.0</v>
      </c>
      <c r="AB143" s="34">
        <v>3.0</v>
      </c>
      <c r="AC143" s="34">
        <v>3.0</v>
      </c>
      <c r="AD143" s="34">
        <v>2.0</v>
      </c>
      <c r="AE143" s="34">
        <v>28.0</v>
      </c>
      <c r="AF143" s="34">
        <v>56.00000000000001</v>
      </c>
      <c r="AG143" s="34" t="s">
        <v>313</v>
      </c>
      <c r="AH143" s="34" t="s">
        <v>985</v>
      </c>
    </row>
    <row r="144">
      <c r="Z144" s="34">
        <v>5.0</v>
      </c>
      <c r="AA144" s="34">
        <v>2.0</v>
      </c>
      <c r="AB144" s="34">
        <v>3.0</v>
      </c>
      <c r="AC144" s="34">
        <v>5.0</v>
      </c>
      <c r="AD144" s="34">
        <v>3.0</v>
      </c>
      <c r="AE144" s="34">
        <v>36.0</v>
      </c>
      <c r="AF144" s="34">
        <v>72.0</v>
      </c>
      <c r="AG144" s="34" t="s">
        <v>374</v>
      </c>
      <c r="AH144" s="34" t="s">
        <v>1005</v>
      </c>
    </row>
    <row r="145">
      <c r="Z145" s="34">
        <v>3.0</v>
      </c>
      <c r="AA145" s="34">
        <v>1.0</v>
      </c>
      <c r="AB145" s="34">
        <v>3.0</v>
      </c>
      <c r="AC145" s="34">
        <v>4.0</v>
      </c>
      <c r="AD145" s="34">
        <v>3.0</v>
      </c>
      <c r="AE145" s="34">
        <v>29.0</v>
      </c>
      <c r="AF145" s="34">
        <v>57.99999999999999</v>
      </c>
      <c r="AG145" s="34" t="s">
        <v>313</v>
      </c>
      <c r="AH145" s="34" t="s">
        <v>985</v>
      </c>
    </row>
    <row r="146">
      <c r="Z146" s="34">
        <v>4.0</v>
      </c>
      <c r="AA146" s="34">
        <v>2.0</v>
      </c>
      <c r="AB146" s="34">
        <v>3.0</v>
      </c>
      <c r="AC146" s="34">
        <v>5.0</v>
      </c>
      <c r="AD146" s="34">
        <v>3.0</v>
      </c>
      <c r="AE146" s="34">
        <v>35.0</v>
      </c>
      <c r="AF146" s="34">
        <v>70.0</v>
      </c>
      <c r="AG146" s="34" t="s">
        <v>374</v>
      </c>
      <c r="AH146" s="34" t="s">
        <v>1005</v>
      </c>
    </row>
    <row r="147">
      <c r="Z147" s="34" t="s">
        <v>674</v>
      </c>
      <c r="AA147" s="34" t="s">
        <v>674</v>
      </c>
      <c r="AB147" s="34" t="s">
        <v>674</v>
      </c>
      <c r="AC147" s="34" t="s">
        <v>674</v>
      </c>
      <c r="AD147" s="34" t="s">
        <v>674</v>
      </c>
      <c r="AE147" s="34">
        <v>0.0</v>
      </c>
      <c r="AF147" s="34">
        <v>0.0</v>
      </c>
      <c r="AG147" s="34" t="s">
        <v>252</v>
      </c>
      <c r="AH147" s="34" t="s">
        <v>971</v>
      </c>
    </row>
    <row r="148">
      <c r="Z148" s="34" t="s">
        <v>674</v>
      </c>
      <c r="AA148" s="34" t="s">
        <v>674</v>
      </c>
      <c r="AB148" s="34" t="s">
        <v>674</v>
      </c>
      <c r="AC148" s="34" t="s">
        <v>674</v>
      </c>
      <c r="AD148" s="34" t="s">
        <v>674</v>
      </c>
      <c r="AE148" s="34">
        <v>0.0</v>
      </c>
      <c r="AF148" s="34">
        <v>0.0</v>
      </c>
      <c r="AG148" s="34" t="s">
        <v>252</v>
      </c>
      <c r="AH148" s="34" t="s">
        <v>971</v>
      </c>
    </row>
    <row r="149">
      <c r="Z149" s="34" t="s">
        <v>674</v>
      </c>
      <c r="AA149" s="34" t="s">
        <v>674</v>
      </c>
      <c r="AB149" s="34" t="s">
        <v>674</v>
      </c>
      <c r="AC149" s="34" t="s">
        <v>674</v>
      </c>
      <c r="AD149" s="34" t="s">
        <v>674</v>
      </c>
      <c r="AE149" s="34">
        <v>0.0</v>
      </c>
      <c r="AF149" s="34">
        <v>0.0</v>
      </c>
      <c r="AG149" s="34" t="s">
        <v>252</v>
      </c>
      <c r="AH149" s="34" t="s">
        <v>971</v>
      </c>
    </row>
    <row r="150">
      <c r="Z150" s="34" t="s">
        <v>674</v>
      </c>
      <c r="AA150" s="34" t="s">
        <v>674</v>
      </c>
      <c r="AB150" s="34" t="s">
        <v>674</v>
      </c>
      <c r="AC150" s="34" t="s">
        <v>674</v>
      </c>
      <c r="AD150" s="34" t="s">
        <v>674</v>
      </c>
      <c r="AE150" s="34">
        <v>0.0</v>
      </c>
      <c r="AF150" s="34">
        <v>0.0</v>
      </c>
      <c r="AG150" s="34" t="s">
        <v>252</v>
      </c>
      <c r="AH150" s="34" t="s">
        <v>971</v>
      </c>
    </row>
    <row r="151">
      <c r="Z151" s="34" t="s">
        <v>674</v>
      </c>
      <c r="AA151" s="34" t="s">
        <v>674</v>
      </c>
      <c r="AB151" s="34" t="s">
        <v>674</v>
      </c>
      <c r="AC151" s="34" t="s">
        <v>674</v>
      </c>
      <c r="AD151" s="34" t="s">
        <v>674</v>
      </c>
      <c r="AE151" s="34">
        <v>0.0</v>
      </c>
      <c r="AF151" s="34">
        <v>0.0</v>
      </c>
      <c r="AG151" s="34" t="s">
        <v>252</v>
      </c>
      <c r="AH151" s="34" t="s">
        <v>971</v>
      </c>
    </row>
    <row r="152">
      <c r="Z152" s="34" t="s">
        <v>674</v>
      </c>
      <c r="AA152" s="34" t="s">
        <v>674</v>
      </c>
      <c r="AB152" s="34" t="s">
        <v>674</v>
      </c>
      <c r="AC152" s="34" t="s">
        <v>674</v>
      </c>
      <c r="AD152" s="34" t="s">
        <v>674</v>
      </c>
      <c r="AE152" s="34">
        <v>0.0</v>
      </c>
      <c r="AF152" s="34">
        <v>0.0</v>
      </c>
      <c r="AG152" s="34" t="s">
        <v>252</v>
      </c>
      <c r="AH152" s="34" t="s">
        <v>971</v>
      </c>
    </row>
    <row r="153">
      <c r="Z153" s="34" t="s">
        <v>674</v>
      </c>
      <c r="AA153" s="34" t="s">
        <v>674</v>
      </c>
      <c r="AB153" s="34" t="s">
        <v>674</v>
      </c>
      <c r="AC153" s="34" t="s">
        <v>674</v>
      </c>
      <c r="AD153" s="34" t="s">
        <v>674</v>
      </c>
      <c r="AE153" s="34">
        <v>0.0</v>
      </c>
      <c r="AF153" s="34">
        <v>0.0</v>
      </c>
      <c r="AG153" s="34" t="s">
        <v>252</v>
      </c>
      <c r="AH153" s="34" t="s">
        <v>971</v>
      </c>
    </row>
    <row r="154">
      <c r="Z154" s="34" t="s">
        <v>674</v>
      </c>
      <c r="AA154" s="34" t="s">
        <v>674</v>
      </c>
      <c r="AB154" s="34" t="s">
        <v>674</v>
      </c>
      <c r="AC154" s="34" t="s">
        <v>674</v>
      </c>
      <c r="AD154" s="34" t="s">
        <v>674</v>
      </c>
      <c r="AE154" s="34">
        <v>0.0</v>
      </c>
      <c r="AF154" s="34">
        <v>0.0</v>
      </c>
      <c r="AG154" s="34" t="s">
        <v>252</v>
      </c>
      <c r="AH154" s="34" t="s">
        <v>971</v>
      </c>
    </row>
    <row r="155">
      <c r="Z155" s="34" t="s">
        <v>674</v>
      </c>
      <c r="AA155" s="34" t="s">
        <v>674</v>
      </c>
      <c r="AB155" s="34" t="s">
        <v>674</v>
      </c>
      <c r="AC155" s="34" t="s">
        <v>674</v>
      </c>
      <c r="AD155" s="34" t="s">
        <v>674</v>
      </c>
      <c r="AE155" s="34">
        <v>0.0</v>
      </c>
      <c r="AF155" s="34">
        <v>0.0</v>
      </c>
      <c r="AG155" s="34" t="s">
        <v>252</v>
      </c>
      <c r="AH155" s="34" t="s">
        <v>971</v>
      </c>
    </row>
    <row r="156">
      <c r="Z156" s="34" t="s">
        <v>674</v>
      </c>
      <c r="AA156" s="34" t="s">
        <v>674</v>
      </c>
      <c r="AB156" s="34" t="s">
        <v>674</v>
      </c>
      <c r="AC156" s="34" t="s">
        <v>674</v>
      </c>
      <c r="AD156" s="34" t="s">
        <v>674</v>
      </c>
      <c r="AE156" s="34">
        <v>0.0</v>
      </c>
      <c r="AF156" s="34">
        <v>0.0</v>
      </c>
      <c r="AG156" s="34" t="s">
        <v>252</v>
      </c>
      <c r="AH156" s="34" t="s">
        <v>971</v>
      </c>
    </row>
    <row r="157">
      <c r="Z157" s="34" t="s">
        <v>674</v>
      </c>
      <c r="AA157" s="34" t="s">
        <v>674</v>
      </c>
      <c r="AB157" s="34" t="s">
        <v>674</v>
      </c>
      <c r="AC157" s="34" t="s">
        <v>674</v>
      </c>
      <c r="AD157" s="34" t="s">
        <v>674</v>
      </c>
      <c r="AE157" s="34">
        <v>0.0</v>
      </c>
      <c r="AF157" s="34">
        <v>0.0</v>
      </c>
      <c r="AG157" s="34" t="s">
        <v>252</v>
      </c>
      <c r="AH157" s="34" t="s">
        <v>971</v>
      </c>
    </row>
    <row r="158">
      <c r="Z158" s="34" t="s">
        <v>674</v>
      </c>
      <c r="AA158" s="34" t="s">
        <v>674</v>
      </c>
      <c r="AB158" s="34" t="s">
        <v>674</v>
      </c>
      <c r="AC158" s="34" t="s">
        <v>674</v>
      </c>
      <c r="AD158" s="34" t="s">
        <v>674</v>
      </c>
      <c r="AE158" s="34">
        <v>0.0</v>
      </c>
      <c r="AF158" s="34">
        <v>0.0</v>
      </c>
      <c r="AG158" s="34" t="s">
        <v>252</v>
      </c>
      <c r="AH158" s="34" t="s">
        <v>971</v>
      </c>
    </row>
    <row r="159">
      <c r="Z159" s="34" t="s">
        <v>674</v>
      </c>
      <c r="AA159" s="34" t="s">
        <v>674</v>
      </c>
      <c r="AB159" s="34" t="s">
        <v>674</v>
      </c>
      <c r="AC159" s="34" t="s">
        <v>674</v>
      </c>
      <c r="AD159" s="34" t="s">
        <v>674</v>
      </c>
      <c r="AE159" s="34">
        <v>0.0</v>
      </c>
      <c r="AF159" s="34">
        <v>0.0</v>
      </c>
      <c r="AG159" s="34" t="s">
        <v>252</v>
      </c>
      <c r="AH159" s="34" t="s">
        <v>971</v>
      </c>
    </row>
    <row r="160">
      <c r="Z160" s="34" t="s">
        <v>674</v>
      </c>
      <c r="AA160" s="34" t="s">
        <v>674</v>
      </c>
      <c r="AB160" s="34" t="s">
        <v>674</v>
      </c>
      <c r="AC160" s="34" t="s">
        <v>674</v>
      </c>
      <c r="AD160" s="34" t="s">
        <v>674</v>
      </c>
      <c r="AE160" s="34">
        <v>0.0</v>
      </c>
      <c r="AF160" s="34">
        <v>0.0</v>
      </c>
      <c r="AG160" s="34" t="s">
        <v>252</v>
      </c>
      <c r="AH160" s="34" t="s">
        <v>971</v>
      </c>
    </row>
    <row r="161">
      <c r="Z161" s="34" t="s">
        <v>674</v>
      </c>
      <c r="AA161" s="34" t="s">
        <v>674</v>
      </c>
      <c r="AB161" s="34" t="s">
        <v>674</v>
      </c>
      <c r="AC161" s="34" t="s">
        <v>674</v>
      </c>
      <c r="AD161" s="34" t="s">
        <v>674</v>
      </c>
      <c r="AE161" s="34">
        <v>0.0</v>
      </c>
      <c r="AF161" s="34">
        <v>0.0</v>
      </c>
      <c r="AG161" s="34" t="s">
        <v>252</v>
      </c>
      <c r="AH161" s="34" t="s">
        <v>971</v>
      </c>
    </row>
    <row r="162">
      <c r="Z162" s="34" t="s">
        <v>674</v>
      </c>
      <c r="AA162" s="34" t="s">
        <v>674</v>
      </c>
      <c r="AB162" s="34" t="s">
        <v>674</v>
      </c>
      <c r="AC162" s="34" t="s">
        <v>674</v>
      </c>
      <c r="AD162" s="34" t="s">
        <v>674</v>
      </c>
      <c r="AE162" s="34">
        <v>0.0</v>
      </c>
      <c r="AF162" s="34">
        <v>0.0</v>
      </c>
      <c r="AG162" s="34" t="s">
        <v>252</v>
      </c>
      <c r="AH162" s="34" t="s">
        <v>971</v>
      </c>
    </row>
    <row r="163">
      <c r="Z163" s="34" t="s">
        <v>674</v>
      </c>
      <c r="AA163" s="34" t="s">
        <v>674</v>
      </c>
      <c r="AB163" s="34" t="s">
        <v>674</v>
      </c>
      <c r="AC163" s="34" t="s">
        <v>674</v>
      </c>
      <c r="AD163" s="34" t="s">
        <v>674</v>
      </c>
      <c r="AE163" s="34">
        <v>0.0</v>
      </c>
      <c r="AF163" s="34">
        <v>0.0</v>
      </c>
      <c r="AG163" s="34" t="s">
        <v>252</v>
      </c>
      <c r="AH163" s="34" t="s">
        <v>971</v>
      </c>
    </row>
    <row r="164">
      <c r="Z164" s="34" t="s">
        <v>674</v>
      </c>
      <c r="AA164" s="34" t="s">
        <v>674</v>
      </c>
      <c r="AB164" s="34" t="s">
        <v>674</v>
      </c>
      <c r="AC164" s="34" t="s">
        <v>674</v>
      </c>
      <c r="AD164" s="34" t="s">
        <v>674</v>
      </c>
      <c r="AE164" s="34">
        <v>0.0</v>
      </c>
      <c r="AF164" s="34">
        <v>0.0</v>
      </c>
      <c r="AG164" s="34" t="s">
        <v>252</v>
      </c>
      <c r="AH164" s="34" t="s">
        <v>971</v>
      </c>
    </row>
    <row r="165">
      <c r="Z165" s="34" t="s">
        <v>674</v>
      </c>
      <c r="AA165" s="34" t="s">
        <v>674</v>
      </c>
      <c r="AB165" s="34" t="s">
        <v>674</v>
      </c>
      <c r="AC165" s="34" t="s">
        <v>674</v>
      </c>
      <c r="AD165" s="34" t="s">
        <v>674</v>
      </c>
      <c r="AE165" s="34">
        <v>0.0</v>
      </c>
      <c r="AF165" s="34">
        <v>0.0</v>
      </c>
      <c r="AG165" s="34" t="s">
        <v>252</v>
      </c>
      <c r="AH165" s="34" t="s">
        <v>971</v>
      </c>
    </row>
    <row r="166">
      <c r="Z166" s="34" t="s">
        <v>674</v>
      </c>
      <c r="AA166" s="34" t="s">
        <v>674</v>
      </c>
      <c r="AB166" s="34" t="s">
        <v>674</v>
      </c>
      <c r="AC166" s="34" t="s">
        <v>674</v>
      </c>
      <c r="AD166" s="34" t="s">
        <v>674</v>
      </c>
      <c r="AE166" s="34">
        <v>0.0</v>
      </c>
      <c r="AF166" s="34">
        <v>0.0</v>
      </c>
      <c r="AG166" s="34" t="s">
        <v>252</v>
      </c>
      <c r="AH166" s="34" t="s">
        <v>971</v>
      </c>
    </row>
    <row r="167">
      <c r="Z167" s="34" t="s">
        <v>674</v>
      </c>
      <c r="AA167" s="34" t="s">
        <v>674</v>
      </c>
      <c r="AB167" s="34" t="s">
        <v>674</v>
      </c>
      <c r="AC167" s="34" t="s">
        <v>674</v>
      </c>
      <c r="AD167" s="34" t="s">
        <v>674</v>
      </c>
      <c r="AE167" s="34">
        <v>0.0</v>
      </c>
      <c r="AF167" s="34">
        <v>0.0</v>
      </c>
      <c r="AG167" s="34" t="s">
        <v>252</v>
      </c>
      <c r="AH167" s="34" t="s">
        <v>971</v>
      </c>
    </row>
    <row r="168">
      <c r="Z168" s="34" t="s">
        <v>674</v>
      </c>
      <c r="AA168" s="34" t="s">
        <v>674</v>
      </c>
      <c r="AB168" s="34" t="s">
        <v>674</v>
      </c>
      <c r="AC168" s="34" t="s">
        <v>674</v>
      </c>
      <c r="AD168" s="34" t="s">
        <v>674</v>
      </c>
      <c r="AE168" s="34">
        <v>0.0</v>
      </c>
      <c r="AF168" s="34">
        <v>0.0</v>
      </c>
      <c r="AG168" s="34" t="s">
        <v>252</v>
      </c>
      <c r="AH168" s="34" t="s">
        <v>971</v>
      </c>
    </row>
    <row r="169">
      <c r="Z169" s="34" t="s">
        <v>674</v>
      </c>
      <c r="AA169" s="34" t="s">
        <v>674</v>
      </c>
      <c r="AB169" s="34" t="s">
        <v>674</v>
      </c>
      <c r="AC169" s="34" t="s">
        <v>674</v>
      </c>
      <c r="AD169" s="34" t="s">
        <v>674</v>
      </c>
      <c r="AE169" s="34">
        <v>0.0</v>
      </c>
      <c r="AF169" s="34">
        <v>0.0</v>
      </c>
      <c r="AG169" s="34" t="s">
        <v>252</v>
      </c>
      <c r="AH169" s="34" t="s">
        <v>971</v>
      </c>
    </row>
    <row r="170">
      <c r="Z170" s="34" t="s">
        <v>674</v>
      </c>
      <c r="AA170" s="34" t="s">
        <v>674</v>
      </c>
      <c r="AB170" s="34" t="s">
        <v>674</v>
      </c>
      <c r="AC170" s="34" t="s">
        <v>674</v>
      </c>
      <c r="AD170" s="34" t="s">
        <v>674</v>
      </c>
      <c r="AE170" s="34">
        <v>0.0</v>
      </c>
      <c r="AF170" s="34">
        <v>0.0</v>
      </c>
      <c r="AG170" s="34" t="s">
        <v>252</v>
      </c>
      <c r="AH170" s="34" t="s">
        <v>971</v>
      </c>
    </row>
    <row r="171">
      <c r="Z171" s="34" t="s">
        <v>674</v>
      </c>
      <c r="AA171" s="34" t="s">
        <v>674</v>
      </c>
      <c r="AB171" s="34" t="s">
        <v>674</v>
      </c>
      <c r="AC171" s="34" t="s">
        <v>674</v>
      </c>
      <c r="AD171" s="34" t="s">
        <v>674</v>
      </c>
      <c r="AE171" s="34">
        <v>0.0</v>
      </c>
      <c r="AF171" s="34">
        <v>0.0</v>
      </c>
      <c r="AG171" s="34" t="s">
        <v>252</v>
      </c>
      <c r="AH171" s="34" t="s">
        <v>971</v>
      </c>
    </row>
    <row r="172">
      <c r="Z172" s="34" t="s">
        <v>674</v>
      </c>
      <c r="AA172" s="34" t="s">
        <v>674</v>
      </c>
      <c r="AB172" s="34" t="s">
        <v>674</v>
      </c>
      <c r="AC172" s="34" t="s">
        <v>674</v>
      </c>
      <c r="AD172" s="34" t="s">
        <v>674</v>
      </c>
      <c r="AE172" s="34">
        <v>0.0</v>
      </c>
      <c r="AF172" s="34">
        <v>0.0</v>
      </c>
      <c r="AG172" s="34" t="s">
        <v>252</v>
      </c>
      <c r="AH172" s="34" t="s">
        <v>971</v>
      </c>
    </row>
    <row r="173">
      <c r="Z173" s="34" t="s">
        <v>674</v>
      </c>
      <c r="AA173" s="34" t="s">
        <v>674</v>
      </c>
      <c r="AB173" s="34" t="s">
        <v>674</v>
      </c>
      <c r="AC173" s="34" t="s">
        <v>674</v>
      </c>
      <c r="AD173" s="34" t="s">
        <v>674</v>
      </c>
      <c r="AE173" s="34">
        <v>0.0</v>
      </c>
      <c r="AF173" s="34">
        <v>0.0</v>
      </c>
      <c r="AG173" s="34" t="s">
        <v>252</v>
      </c>
      <c r="AH173" s="34" t="s">
        <v>971</v>
      </c>
    </row>
    <row r="174">
      <c r="Z174" s="34" t="s">
        <v>674</v>
      </c>
      <c r="AA174" s="34" t="s">
        <v>674</v>
      </c>
      <c r="AB174" s="34" t="s">
        <v>674</v>
      </c>
      <c r="AC174" s="34" t="s">
        <v>674</v>
      </c>
      <c r="AD174" s="34" t="s">
        <v>674</v>
      </c>
      <c r="AE174" s="34">
        <v>0.0</v>
      </c>
      <c r="AF174" s="34">
        <v>0.0</v>
      </c>
      <c r="AG174" s="34" t="s">
        <v>252</v>
      </c>
      <c r="AH174" s="34" t="s">
        <v>971</v>
      </c>
    </row>
    <row r="175">
      <c r="Z175" s="34" t="s">
        <v>674</v>
      </c>
      <c r="AA175" s="34" t="s">
        <v>674</v>
      </c>
      <c r="AB175" s="34" t="s">
        <v>674</v>
      </c>
      <c r="AC175" s="34" t="s">
        <v>674</v>
      </c>
      <c r="AD175" s="34" t="s">
        <v>674</v>
      </c>
      <c r="AE175" s="34">
        <v>0.0</v>
      </c>
      <c r="AF175" s="34">
        <v>0.0</v>
      </c>
      <c r="AG175" s="34" t="s">
        <v>252</v>
      </c>
      <c r="AH175" s="34" t="s">
        <v>971</v>
      </c>
    </row>
    <row r="176">
      <c r="Z176" s="34" t="s">
        <v>674</v>
      </c>
      <c r="AA176" s="34" t="s">
        <v>674</v>
      </c>
      <c r="AB176" s="34" t="s">
        <v>674</v>
      </c>
      <c r="AC176" s="34" t="s">
        <v>674</v>
      </c>
      <c r="AD176" s="34" t="s">
        <v>674</v>
      </c>
      <c r="AE176" s="34">
        <v>0.0</v>
      </c>
      <c r="AF176" s="34">
        <v>0.0</v>
      </c>
      <c r="AG176" s="34" t="s">
        <v>252</v>
      </c>
      <c r="AH176" s="34" t="s">
        <v>971</v>
      </c>
    </row>
    <row r="177">
      <c r="Z177" s="34" t="s">
        <v>674</v>
      </c>
      <c r="AA177" s="34" t="s">
        <v>674</v>
      </c>
      <c r="AB177" s="34" t="s">
        <v>674</v>
      </c>
      <c r="AC177" s="34" t="s">
        <v>674</v>
      </c>
      <c r="AD177" s="34" t="s">
        <v>674</v>
      </c>
      <c r="AE177" s="34">
        <v>0.0</v>
      </c>
      <c r="AF177" s="34">
        <v>0.0</v>
      </c>
      <c r="AG177" s="34" t="s">
        <v>252</v>
      </c>
      <c r="AH177" s="34" t="s">
        <v>971</v>
      </c>
    </row>
    <row r="178">
      <c r="Z178" s="34" t="s">
        <v>674</v>
      </c>
      <c r="AA178" s="34" t="s">
        <v>674</v>
      </c>
      <c r="AB178" s="34" t="s">
        <v>674</v>
      </c>
      <c r="AC178" s="34" t="s">
        <v>674</v>
      </c>
      <c r="AD178" s="34" t="s">
        <v>674</v>
      </c>
      <c r="AE178" s="34">
        <v>0.0</v>
      </c>
      <c r="AF178" s="34">
        <v>0.0</v>
      </c>
      <c r="AG178" s="34" t="s">
        <v>252</v>
      </c>
      <c r="AH178" s="34" t="s">
        <v>971</v>
      </c>
    </row>
    <row r="179">
      <c r="Z179" s="34" t="s">
        <v>674</v>
      </c>
      <c r="AA179" s="34" t="s">
        <v>674</v>
      </c>
      <c r="AB179" s="34" t="s">
        <v>674</v>
      </c>
      <c r="AC179" s="34" t="s">
        <v>674</v>
      </c>
      <c r="AD179" s="34" t="s">
        <v>674</v>
      </c>
      <c r="AE179" s="34">
        <v>0.0</v>
      </c>
      <c r="AF179" s="34">
        <v>0.0</v>
      </c>
      <c r="AG179" s="34" t="s">
        <v>252</v>
      </c>
      <c r="AH179" s="34" t="s">
        <v>971</v>
      </c>
    </row>
    <row r="180">
      <c r="Z180" s="34" t="s">
        <v>674</v>
      </c>
      <c r="AA180" s="34" t="s">
        <v>674</v>
      </c>
      <c r="AB180" s="34" t="s">
        <v>674</v>
      </c>
      <c r="AC180" s="34" t="s">
        <v>674</v>
      </c>
      <c r="AD180" s="34" t="s">
        <v>674</v>
      </c>
      <c r="AE180" s="34">
        <v>0.0</v>
      </c>
      <c r="AF180" s="34">
        <v>0.0</v>
      </c>
      <c r="AG180" s="34" t="s">
        <v>252</v>
      </c>
      <c r="AH180" s="34" t="s">
        <v>971</v>
      </c>
    </row>
    <row r="181">
      <c r="Z181" s="34" t="s">
        <v>674</v>
      </c>
      <c r="AA181" s="34" t="s">
        <v>674</v>
      </c>
      <c r="AB181" s="34" t="s">
        <v>674</v>
      </c>
      <c r="AC181" s="34" t="s">
        <v>674</v>
      </c>
      <c r="AD181" s="34" t="s">
        <v>674</v>
      </c>
      <c r="AE181" s="34">
        <v>0.0</v>
      </c>
      <c r="AF181" s="34">
        <v>0.0</v>
      </c>
      <c r="AG181" s="34" t="s">
        <v>252</v>
      </c>
      <c r="AH181" s="34" t="s">
        <v>971</v>
      </c>
    </row>
    <row r="182">
      <c r="Z182" s="34" t="s">
        <v>674</v>
      </c>
      <c r="AA182" s="34" t="s">
        <v>674</v>
      </c>
      <c r="AB182" s="34" t="s">
        <v>674</v>
      </c>
      <c r="AC182" s="34" t="s">
        <v>674</v>
      </c>
      <c r="AD182" s="34" t="s">
        <v>674</v>
      </c>
      <c r="AE182" s="34">
        <v>0.0</v>
      </c>
      <c r="AF182" s="34">
        <v>0.0</v>
      </c>
      <c r="AG182" s="34" t="s">
        <v>252</v>
      </c>
      <c r="AH182" s="34" t="s">
        <v>971</v>
      </c>
    </row>
    <row r="183">
      <c r="Z183" s="34" t="s">
        <v>674</v>
      </c>
      <c r="AA183" s="34" t="s">
        <v>674</v>
      </c>
      <c r="AB183" s="34" t="s">
        <v>674</v>
      </c>
      <c r="AC183" s="34" t="s">
        <v>674</v>
      </c>
      <c r="AD183" s="34" t="s">
        <v>674</v>
      </c>
      <c r="AE183" s="34">
        <v>0.0</v>
      </c>
      <c r="AF183" s="34">
        <v>0.0</v>
      </c>
      <c r="AG183" s="34" t="s">
        <v>252</v>
      </c>
      <c r="AH183" s="34" t="s">
        <v>971</v>
      </c>
    </row>
    <row r="184">
      <c r="Z184" s="34" t="s">
        <v>674</v>
      </c>
      <c r="AA184" s="34" t="s">
        <v>674</v>
      </c>
      <c r="AB184" s="34" t="s">
        <v>674</v>
      </c>
      <c r="AC184" s="34" t="s">
        <v>674</v>
      </c>
      <c r="AD184" s="34" t="s">
        <v>674</v>
      </c>
      <c r="AE184" s="34">
        <v>0.0</v>
      </c>
      <c r="AF184" s="34">
        <v>0.0</v>
      </c>
      <c r="AG184" s="34" t="s">
        <v>252</v>
      </c>
      <c r="AH184" s="34" t="s">
        <v>971</v>
      </c>
    </row>
    <row r="185">
      <c r="Z185" s="34" t="s">
        <v>674</v>
      </c>
      <c r="AA185" s="34" t="s">
        <v>674</v>
      </c>
      <c r="AB185" s="34" t="s">
        <v>674</v>
      </c>
      <c r="AC185" s="34" t="s">
        <v>674</v>
      </c>
      <c r="AD185" s="34" t="s">
        <v>674</v>
      </c>
      <c r="AE185" s="34">
        <v>0.0</v>
      </c>
      <c r="AF185" s="34">
        <v>0.0</v>
      </c>
      <c r="AG185" s="34" t="s">
        <v>252</v>
      </c>
      <c r="AH185" s="34" t="s">
        <v>971</v>
      </c>
    </row>
    <row r="186">
      <c r="Z186" s="34" t="s">
        <v>674</v>
      </c>
      <c r="AA186" s="34" t="s">
        <v>674</v>
      </c>
      <c r="AB186" s="34" t="s">
        <v>674</v>
      </c>
      <c r="AC186" s="34" t="s">
        <v>674</v>
      </c>
      <c r="AD186" s="34" t="s">
        <v>674</v>
      </c>
      <c r="AE186" s="34">
        <v>0.0</v>
      </c>
      <c r="AF186" s="34">
        <v>0.0</v>
      </c>
      <c r="AG186" s="34" t="s">
        <v>252</v>
      </c>
      <c r="AH186" s="34" t="s">
        <v>971</v>
      </c>
    </row>
    <row r="187">
      <c r="Z187" s="34" t="s">
        <v>674</v>
      </c>
      <c r="AA187" s="34" t="s">
        <v>674</v>
      </c>
      <c r="AB187" s="34" t="s">
        <v>674</v>
      </c>
      <c r="AC187" s="34" t="s">
        <v>674</v>
      </c>
      <c r="AD187" s="34" t="s">
        <v>674</v>
      </c>
      <c r="AE187" s="34">
        <v>0.0</v>
      </c>
      <c r="AF187" s="34">
        <v>0.0</v>
      </c>
      <c r="AG187" s="34" t="s">
        <v>252</v>
      </c>
      <c r="AH187" s="34" t="s">
        <v>971</v>
      </c>
    </row>
    <row r="188">
      <c r="Z188" s="34" t="s">
        <v>674</v>
      </c>
      <c r="AA188" s="34" t="s">
        <v>674</v>
      </c>
      <c r="AB188" s="34" t="s">
        <v>674</v>
      </c>
      <c r="AC188" s="34" t="s">
        <v>674</v>
      </c>
      <c r="AD188" s="34" t="s">
        <v>674</v>
      </c>
      <c r="AE188" s="34">
        <v>0.0</v>
      </c>
      <c r="AF188" s="34">
        <v>0.0</v>
      </c>
      <c r="AG188" s="34" t="s">
        <v>252</v>
      </c>
      <c r="AH188" s="34" t="s">
        <v>971</v>
      </c>
    </row>
    <row r="189">
      <c r="Z189" s="34" t="s">
        <v>674</v>
      </c>
      <c r="AA189" s="34" t="s">
        <v>674</v>
      </c>
      <c r="AB189" s="34" t="s">
        <v>674</v>
      </c>
      <c r="AC189" s="34" t="s">
        <v>674</v>
      </c>
      <c r="AD189" s="34" t="s">
        <v>674</v>
      </c>
      <c r="AE189" s="34">
        <v>0.0</v>
      </c>
      <c r="AF189" s="34">
        <v>0.0</v>
      </c>
      <c r="AG189" s="34" t="s">
        <v>252</v>
      </c>
      <c r="AH189" s="34" t="s">
        <v>971</v>
      </c>
    </row>
    <row r="190">
      <c r="Z190" s="34" t="s">
        <v>674</v>
      </c>
      <c r="AA190" s="34" t="s">
        <v>674</v>
      </c>
      <c r="AB190" s="34" t="s">
        <v>674</v>
      </c>
      <c r="AC190" s="34" t="s">
        <v>674</v>
      </c>
      <c r="AD190" s="34" t="s">
        <v>674</v>
      </c>
      <c r="AE190" s="34">
        <v>0.0</v>
      </c>
      <c r="AF190" s="34">
        <v>0.0</v>
      </c>
      <c r="AG190" s="34" t="s">
        <v>252</v>
      </c>
      <c r="AH190" s="34" t="s">
        <v>971</v>
      </c>
    </row>
    <row r="191">
      <c r="Z191" s="34" t="s">
        <v>674</v>
      </c>
      <c r="AA191" s="34" t="s">
        <v>674</v>
      </c>
      <c r="AB191" s="34" t="s">
        <v>674</v>
      </c>
      <c r="AC191" s="34" t="s">
        <v>674</v>
      </c>
      <c r="AD191" s="34" t="s">
        <v>674</v>
      </c>
      <c r="AE191" s="34">
        <v>0.0</v>
      </c>
      <c r="AF191" s="34">
        <v>0.0</v>
      </c>
      <c r="AG191" s="34" t="s">
        <v>252</v>
      </c>
      <c r="AH191" s="34" t="s">
        <v>971</v>
      </c>
    </row>
    <row r="192">
      <c r="Z192" s="34" t="s">
        <v>674</v>
      </c>
      <c r="AA192" s="34" t="s">
        <v>674</v>
      </c>
      <c r="AB192" s="34" t="s">
        <v>674</v>
      </c>
      <c r="AC192" s="34" t="s">
        <v>674</v>
      </c>
      <c r="AD192" s="34" t="s">
        <v>674</v>
      </c>
      <c r="AE192" s="34">
        <v>0.0</v>
      </c>
      <c r="AF192" s="34">
        <v>0.0</v>
      </c>
      <c r="AG192" s="34" t="s">
        <v>252</v>
      </c>
      <c r="AH192" s="34" t="s">
        <v>971</v>
      </c>
    </row>
    <row r="193">
      <c r="Z193" s="34" t="s">
        <v>674</v>
      </c>
      <c r="AA193" s="34" t="s">
        <v>674</v>
      </c>
      <c r="AB193" s="34" t="s">
        <v>674</v>
      </c>
      <c r="AC193" s="34" t="s">
        <v>674</v>
      </c>
      <c r="AD193" s="34" t="s">
        <v>674</v>
      </c>
      <c r="AE193" s="34">
        <v>0.0</v>
      </c>
      <c r="AF193" s="34">
        <v>0.0</v>
      </c>
      <c r="AG193" s="34" t="s">
        <v>252</v>
      </c>
      <c r="AH193" s="34" t="s">
        <v>971</v>
      </c>
    </row>
    <row r="194">
      <c r="Z194" s="34" t="s">
        <v>674</v>
      </c>
      <c r="AA194" s="34" t="s">
        <v>674</v>
      </c>
      <c r="AB194" s="34" t="s">
        <v>674</v>
      </c>
      <c r="AC194" s="34" t="s">
        <v>674</v>
      </c>
      <c r="AD194" s="34" t="s">
        <v>674</v>
      </c>
      <c r="AE194" s="34">
        <v>0.0</v>
      </c>
      <c r="AF194" s="34">
        <v>0.0</v>
      </c>
      <c r="AG194" s="34" t="s">
        <v>252</v>
      </c>
      <c r="AH194" s="34" t="s">
        <v>971</v>
      </c>
    </row>
    <row r="195">
      <c r="Z195" s="34" t="s">
        <v>674</v>
      </c>
      <c r="AA195" s="34" t="s">
        <v>674</v>
      </c>
      <c r="AB195" s="34" t="s">
        <v>674</v>
      </c>
      <c r="AC195" s="34" t="s">
        <v>674</v>
      </c>
      <c r="AD195" s="34" t="s">
        <v>674</v>
      </c>
      <c r="AE195" s="34">
        <v>0.0</v>
      </c>
      <c r="AF195" s="34">
        <v>0.0</v>
      </c>
      <c r="AG195" s="34" t="s">
        <v>252</v>
      </c>
      <c r="AH195" s="34" t="s">
        <v>971</v>
      </c>
    </row>
    <row r="196">
      <c r="Z196" s="34" t="s">
        <v>674</v>
      </c>
      <c r="AA196" s="34" t="s">
        <v>674</v>
      </c>
      <c r="AB196" s="34" t="s">
        <v>674</v>
      </c>
      <c r="AC196" s="34" t="s">
        <v>674</v>
      </c>
      <c r="AD196" s="34" t="s">
        <v>674</v>
      </c>
      <c r="AE196" s="34">
        <v>0.0</v>
      </c>
      <c r="AF196" s="34">
        <v>0.0</v>
      </c>
      <c r="AG196" s="34" t="s">
        <v>252</v>
      </c>
      <c r="AH196" s="34" t="s">
        <v>971</v>
      </c>
    </row>
    <row r="197">
      <c r="Z197" s="34" t="s">
        <v>674</v>
      </c>
      <c r="AA197" s="34" t="s">
        <v>674</v>
      </c>
      <c r="AB197" s="34" t="s">
        <v>674</v>
      </c>
      <c r="AC197" s="34" t="s">
        <v>674</v>
      </c>
      <c r="AD197" s="34" t="s">
        <v>674</v>
      </c>
      <c r="AE197" s="34">
        <v>0.0</v>
      </c>
      <c r="AF197" s="34">
        <v>0.0</v>
      </c>
      <c r="AG197" s="34" t="s">
        <v>252</v>
      </c>
      <c r="AH197" s="34" t="s">
        <v>971</v>
      </c>
    </row>
    <row r="198">
      <c r="Z198" s="34" t="s">
        <v>674</v>
      </c>
      <c r="AA198" s="34" t="s">
        <v>674</v>
      </c>
      <c r="AB198" s="34" t="s">
        <v>674</v>
      </c>
      <c r="AC198" s="34" t="s">
        <v>674</v>
      </c>
      <c r="AD198" s="34" t="s">
        <v>674</v>
      </c>
      <c r="AE198" s="34">
        <v>0.0</v>
      </c>
      <c r="AF198" s="34">
        <v>0.0</v>
      </c>
      <c r="AG198" s="34" t="s">
        <v>252</v>
      </c>
      <c r="AH198" s="34" t="s">
        <v>971</v>
      </c>
    </row>
    <row r="199">
      <c r="Z199" s="34" t="s">
        <v>674</v>
      </c>
      <c r="AA199" s="34" t="s">
        <v>674</v>
      </c>
      <c r="AB199" s="34" t="s">
        <v>674</v>
      </c>
      <c r="AC199" s="34" t="s">
        <v>674</v>
      </c>
      <c r="AD199" s="34" t="s">
        <v>674</v>
      </c>
      <c r="AE199" s="34">
        <v>0.0</v>
      </c>
      <c r="AF199" s="34">
        <v>0.0</v>
      </c>
      <c r="AG199" s="34" t="s">
        <v>252</v>
      </c>
      <c r="AH199" s="34" t="s">
        <v>971</v>
      </c>
    </row>
    <row r="200">
      <c r="Z200" s="34" t="s">
        <v>674</v>
      </c>
      <c r="AA200" s="34" t="s">
        <v>674</v>
      </c>
      <c r="AB200" s="34" t="s">
        <v>674</v>
      </c>
      <c r="AC200" s="34" t="s">
        <v>674</v>
      </c>
      <c r="AD200" s="34" t="s">
        <v>674</v>
      </c>
      <c r="AE200" s="34">
        <v>0.0</v>
      </c>
      <c r="AF200" s="34">
        <v>0.0</v>
      </c>
      <c r="AG200" s="34" t="s">
        <v>252</v>
      </c>
      <c r="AH200" s="34" t="s">
        <v>971</v>
      </c>
    </row>
    <row r="201">
      <c r="Z201" s="34" t="s">
        <v>674</v>
      </c>
      <c r="AA201" s="34" t="s">
        <v>674</v>
      </c>
      <c r="AB201" s="34" t="s">
        <v>674</v>
      </c>
      <c r="AC201" s="34" t="s">
        <v>674</v>
      </c>
      <c r="AD201" s="34" t="s">
        <v>674</v>
      </c>
      <c r="AE201" s="34">
        <v>0.0</v>
      </c>
      <c r="AF201" s="34">
        <v>0.0</v>
      </c>
      <c r="AG201" s="34" t="s">
        <v>252</v>
      </c>
      <c r="AH201" s="34" t="s">
        <v>971</v>
      </c>
    </row>
    <row r="202">
      <c r="Z202" s="34" t="s">
        <v>674</v>
      </c>
      <c r="AA202" s="34" t="s">
        <v>674</v>
      </c>
      <c r="AB202" s="34" t="s">
        <v>674</v>
      </c>
      <c r="AC202" s="34" t="s">
        <v>674</v>
      </c>
      <c r="AD202" s="34" t="s">
        <v>674</v>
      </c>
      <c r="AE202" s="34">
        <v>0.0</v>
      </c>
      <c r="AF202" s="34">
        <v>0.0</v>
      </c>
      <c r="AG202" s="34" t="s">
        <v>252</v>
      </c>
      <c r="AH202" s="34" t="s">
        <v>971</v>
      </c>
    </row>
    <row r="203">
      <c r="Z203" s="34" t="s">
        <v>674</v>
      </c>
      <c r="AA203" s="34" t="s">
        <v>674</v>
      </c>
      <c r="AB203" s="34" t="s">
        <v>674</v>
      </c>
      <c r="AC203" s="34" t="s">
        <v>674</v>
      </c>
      <c r="AD203" s="34" t="s">
        <v>674</v>
      </c>
      <c r="AE203" s="34">
        <v>0.0</v>
      </c>
      <c r="AF203" s="34">
        <v>0.0</v>
      </c>
      <c r="AG203" s="34" t="s">
        <v>252</v>
      </c>
      <c r="AH203" s="34" t="s">
        <v>971</v>
      </c>
    </row>
    <row r="204">
      <c r="Z204" s="34" t="s">
        <v>674</v>
      </c>
      <c r="AA204" s="34" t="s">
        <v>674</v>
      </c>
      <c r="AB204" s="34" t="s">
        <v>674</v>
      </c>
      <c r="AC204" s="34" t="s">
        <v>674</v>
      </c>
      <c r="AD204" s="34" t="s">
        <v>674</v>
      </c>
      <c r="AE204" s="34">
        <v>0.0</v>
      </c>
      <c r="AF204" s="34">
        <v>0.0</v>
      </c>
      <c r="AG204" s="34" t="s">
        <v>252</v>
      </c>
      <c r="AH204" s="34" t="s">
        <v>971</v>
      </c>
    </row>
    <row r="205">
      <c r="Z205" s="34" t="s">
        <v>674</v>
      </c>
      <c r="AA205" s="34" t="s">
        <v>674</v>
      </c>
      <c r="AB205" s="34" t="s">
        <v>674</v>
      </c>
      <c r="AC205" s="34" t="s">
        <v>674</v>
      </c>
      <c r="AD205" s="34" t="s">
        <v>674</v>
      </c>
      <c r="AE205" s="34">
        <v>0.0</v>
      </c>
      <c r="AF205" s="34">
        <v>0.0</v>
      </c>
      <c r="AG205" s="34" t="s">
        <v>252</v>
      </c>
      <c r="AH205" s="34" t="s">
        <v>971</v>
      </c>
    </row>
    <row r="206">
      <c r="Z206" s="34" t="s">
        <v>674</v>
      </c>
      <c r="AA206" s="34" t="s">
        <v>674</v>
      </c>
      <c r="AB206" s="34" t="s">
        <v>674</v>
      </c>
      <c r="AC206" s="34" t="s">
        <v>674</v>
      </c>
      <c r="AD206" s="34" t="s">
        <v>674</v>
      </c>
      <c r="AE206" s="34">
        <v>0.0</v>
      </c>
      <c r="AF206" s="34">
        <v>0.0</v>
      </c>
      <c r="AG206" s="34" t="s">
        <v>252</v>
      </c>
      <c r="AH206" s="34" t="s">
        <v>971</v>
      </c>
    </row>
    <row r="207">
      <c r="Z207" s="34" t="s">
        <v>674</v>
      </c>
      <c r="AA207" s="34" t="s">
        <v>674</v>
      </c>
      <c r="AB207" s="34" t="s">
        <v>674</v>
      </c>
      <c r="AC207" s="34" t="s">
        <v>674</v>
      </c>
      <c r="AD207" s="34" t="s">
        <v>674</v>
      </c>
      <c r="AE207" s="34">
        <v>0.0</v>
      </c>
      <c r="AF207" s="34">
        <v>0.0</v>
      </c>
      <c r="AG207" s="34" t="s">
        <v>252</v>
      </c>
      <c r="AH207" s="34" t="s">
        <v>971</v>
      </c>
    </row>
    <row r="208">
      <c r="Z208" s="34" t="s">
        <v>674</v>
      </c>
      <c r="AA208" s="34" t="s">
        <v>674</v>
      </c>
      <c r="AB208" s="34" t="s">
        <v>674</v>
      </c>
      <c r="AC208" s="34" t="s">
        <v>674</v>
      </c>
      <c r="AD208" s="34" t="s">
        <v>674</v>
      </c>
      <c r="AE208" s="34">
        <v>0.0</v>
      </c>
      <c r="AF208" s="34">
        <v>0.0</v>
      </c>
      <c r="AG208" s="34" t="s">
        <v>252</v>
      </c>
      <c r="AH208" s="34" t="s">
        <v>971</v>
      </c>
    </row>
    <row r="209">
      <c r="Z209" s="34" t="s">
        <v>674</v>
      </c>
      <c r="AA209" s="34" t="s">
        <v>674</v>
      </c>
      <c r="AB209" s="34" t="s">
        <v>674</v>
      </c>
      <c r="AC209" s="34" t="s">
        <v>674</v>
      </c>
      <c r="AD209" s="34" t="s">
        <v>674</v>
      </c>
      <c r="AE209" s="34">
        <v>0.0</v>
      </c>
      <c r="AF209" s="34">
        <v>0.0</v>
      </c>
      <c r="AG209" s="34" t="s">
        <v>252</v>
      </c>
      <c r="AH209" s="34" t="s">
        <v>971</v>
      </c>
    </row>
    <row r="210">
      <c r="Z210" s="34" t="s">
        <v>674</v>
      </c>
      <c r="AA210" s="34" t="s">
        <v>674</v>
      </c>
      <c r="AB210" s="34" t="s">
        <v>674</v>
      </c>
      <c r="AC210" s="34" t="s">
        <v>674</v>
      </c>
      <c r="AD210" s="34" t="s">
        <v>674</v>
      </c>
      <c r="AE210" s="34">
        <v>0.0</v>
      </c>
      <c r="AF210" s="34">
        <v>0.0</v>
      </c>
      <c r="AG210" s="34" t="s">
        <v>252</v>
      </c>
      <c r="AH210" s="34" t="s">
        <v>971</v>
      </c>
    </row>
    <row r="211">
      <c r="Z211" s="34" t="s">
        <v>674</v>
      </c>
      <c r="AA211" s="34" t="s">
        <v>674</v>
      </c>
      <c r="AB211" s="34" t="s">
        <v>674</v>
      </c>
      <c r="AC211" s="34" t="s">
        <v>674</v>
      </c>
      <c r="AD211" s="34" t="s">
        <v>674</v>
      </c>
      <c r="AE211" s="34">
        <v>0.0</v>
      </c>
      <c r="AF211" s="34">
        <v>0.0</v>
      </c>
      <c r="AG211" s="34" t="s">
        <v>252</v>
      </c>
      <c r="AH211" s="34" t="s">
        <v>971</v>
      </c>
    </row>
    <row r="212">
      <c r="Z212" s="34" t="s">
        <v>674</v>
      </c>
      <c r="AA212" s="34" t="s">
        <v>674</v>
      </c>
      <c r="AB212" s="34" t="s">
        <v>674</v>
      </c>
      <c r="AC212" s="34" t="s">
        <v>674</v>
      </c>
      <c r="AD212" s="34" t="s">
        <v>674</v>
      </c>
      <c r="AE212" s="34">
        <v>0.0</v>
      </c>
      <c r="AF212" s="34">
        <v>0.0</v>
      </c>
      <c r="AG212" s="34" t="s">
        <v>252</v>
      </c>
      <c r="AH212" s="34" t="s">
        <v>971</v>
      </c>
    </row>
    <row r="213">
      <c r="Z213" s="34" t="s">
        <v>674</v>
      </c>
      <c r="AA213" s="34" t="s">
        <v>674</v>
      </c>
      <c r="AB213" s="34" t="s">
        <v>674</v>
      </c>
      <c r="AC213" s="34" t="s">
        <v>674</v>
      </c>
      <c r="AD213" s="34" t="s">
        <v>674</v>
      </c>
      <c r="AE213" s="34">
        <v>0.0</v>
      </c>
      <c r="AF213" s="34">
        <v>0.0</v>
      </c>
      <c r="AG213" s="34" t="s">
        <v>252</v>
      </c>
      <c r="AH213" s="34" t="s">
        <v>971</v>
      </c>
    </row>
    <row r="214">
      <c r="Z214" s="34" t="s">
        <v>674</v>
      </c>
      <c r="AA214" s="34" t="s">
        <v>674</v>
      </c>
      <c r="AB214" s="34" t="s">
        <v>674</v>
      </c>
      <c r="AC214" s="34" t="s">
        <v>674</v>
      </c>
      <c r="AD214" s="34" t="s">
        <v>674</v>
      </c>
      <c r="AE214" s="34">
        <v>0.0</v>
      </c>
      <c r="AF214" s="34">
        <v>0.0</v>
      </c>
      <c r="AG214" s="34" t="s">
        <v>252</v>
      </c>
      <c r="AH214" s="34" t="s">
        <v>971</v>
      </c>
    </row>
    <row r="215">
      <c r="Z215" s="34" t="s">
        <v>674</v>
      </c>
      <c r="AA215" s="34" t="s">
        <v>674</v>
      </c>
      <c r="AB215" s="34" t="s">
        <v>674</v>
      </c>
      <c r="AC215" s="34" t="s">
        <v>674</v>
      </c>
      <c r="AD215" s="34" t="s">
        <v>674</v>
      </c>
      <c r="AE215" s="34">
        <v>0.0</v>
      </c>
      <c r="AF215" s="34">
        <v>0.0</v>
      </c>
      <c r="AG215" s="34" t="s">
        <v>252</v>
      </c>
      <c r="AH215" s="34" t="s">
        <v>971</v>
      </c>
    </row>
    <row r="216">
      <c r="Z216" s="34" t="s">
        <v>674</v>
      </c>
      <c r="AA216" s="34" t="s">
        <v>674</v>
      </c>
      <c r="AB216" s="34" t="s">
        <v>674</v>
      </c>
      <c r="AC216" s="34" t="s">
        <v>674</v>
      </c>
      <c r="AD216" s="34" t="s">
        <v>674</v>
      </c>
      <c r="AE216" s="34">
        <v>0.0</v>
      </c>
      <c r="AF216" s="34">
        <v>0.0</v>
      </c>
      <c r="AG216" s="34" t="s">
        <v>252</v>
      </c>
      <c r="AH216" s="34" t="s">
        <v>971</v>
      </c>
    </row>
    <row r="217">
      <c r="Z217" s="34" t="s">
        <v>674</v>
      </c>
      <c r="AA217" s="34" t="s">
        <v>674</v>
      </c>
      <c r="AB217" s="34" t="s">
        <v>674</v>
      </c>
      <c r="AC217" s="34" t="s">
        <v>674</v>
      </c>
      <c r="AD217" s="34" t="s">
        <v>674</v>
      </c>
      <c r="AE217" s="34">
        <v>0.0</v>
      </c>
      <c r="AF217" s="34">
        <v>0.0</v>
      </c>
      <c r="AG217" s="34" t="s">
        <v>252</v>
      </c>
      <c r="AH217" s="34" t="s">
        <v>971</v>
      </c>
    </row>
    <row r="218">
      <c r="Z218" s="34" t="s">
        <v>674</v>
      </c>
      <c r="AA218" s="34" t="s">
        <v>674</v>
      </c>
      <c r="AB218" s="34" t="s">
        <v>674</v>
      </c>
      <c r="AC218" s="34" t="s">
        <v>674</v>
      </c>
      <c r="AD218" s="34" t="s">
        <v>674</v>
      </c>
      <c r="AE218" s="34">
        <v>0.0</v>
      </c>
      <c r="AF218" s="34">
        <v>0.0</v>
      </c>
      <c r="AG218" s="34" t="s">
        <v>252</v>
      </c>
      <c r="AH218" s="34" t="s">
        <v>971</v>
      </c>
    </row>
    <row r="219">
      <c r="Z219" s="34" t="s">
        <v>674</v>
      </c>
      <c r="AA219" s="34" t="s">
        <v>674</v>
      </c>
      <c r="AB219" s="34" t="s">
        <v>674</v>
      </c>
      <c r="AC219" s="34" t="s">
        <v>674</v>
      </c>
      <c r="AD219" s="34" t="s">
        <v>674</v>
      </c>
      <c r="AE219" s="34">
        <v>0.0</v>
      </c>
      <c r="AF219" s="34">
        <v>0.0</v>
      </c>
      <c r="AG219" s="34" t="s">
        <v>252</v>
      </c>
      <c r="AH219" s="34" t="s">
        <v>971</v>
      </c>
    </row>
    <row r="220">
      <c r="Z220" s="34" t="s">
        <v>674</v>
      </c>
      <c r="AA220" s="34" t="s">
        <v>674</v>
      </c>
      <c r="AB220" s="34" t="s">
        <v>674</v>
      </c>
      <c r="AC220" s="34" t="s">
        <v>674</v>
      </c>
      <c r="AD220" s="34" t="s">
        <v>674</v>
      </c>
      <c r="AE220" s="34">
        <v>0.0</v>
      </c>
      <c r="AF220" s="34">
        <v>0.0</v>
      </c>
      <c r="AG220" s="34" t="s">
        <v>252</v>
      </c>
      <c r="AH220" s="34" t="s">
        <v>971</v>
      </c>
    </row>
    <row r="221">
      <c r="Z221" s="34" t="s">
        <v>674</v>
      </c>
      <c r="AA221" s="34" t="s">
        <v>674</v>
      </c>
      <c r="AB221" s="34" t="s">
        <v>674</v>
      </c>
      <c r="AC221" s="34" t="s">
        <v>674</v>
      </c>
      <c r="AD221" s="34" t="s">
        <v>674</v>
      </c>
      <c r="AE221" s="34">
        <v>0.0</v>
      </c>
      <c r="AF221" s="34">
        <v>0.0</v>
      </c>
      <c r="AG221" s="34" t="s">
        <v>252</v>
      </c>
      <c r="AH221" s="34" t="s">
        <v>971</v>
      </c>
    </row>
    <row r="222">
      <c r="Z222" s="34" t="s">
        <v>674</v>
      </c>
      <c r="AA222" s="34" t="s">
        <v>674</v>
      </c>
      <c r="AB222" s="34" t="s">
        <v>674</v>
      </c>
      <c r="AC222" s="34" t="s">
        <v>674</v>
      </c>
      <c r="AD222" s="34" t="s">
        <v>674</v>
      </c>
      <c r="AE222" s="34">
        <v>0.0</v>
      </c>
      <c r="AF222" s="34">
        <v>0.0</v>
      </c>
      <c r="AG222" s="34" t="s">
        <v>252</v>
      </c>
      <c r="AH222" s="34" t="s">
        <v>971</v>
      </c>
    </row>
    <row r="223">
      <c r="Z223" s="34" t="s">
        <v>674</v>
      </c>
      <c r="AA223" s="34" t="s">
        <v>674</v>
      </c>
      <c r="AB223" s="34" t="s">
        <v>674</v>
      </c>
      <c r="AC223" s="34" t="s">
        <v>674</v>
      </c>
      <c r="AD223" s="34" t="s">
        <v>674</v>
      </c>
      <c r="AE223" s="34">
        <v>0.0</v>
      </c>
      <c r="AF223" s="34">
        <v>0.0</v>
      </c>
      <c r="AG223" s="34" t="s">
        <v>252</v>
      </c>
      <c r="AH223" s="34" t="s">
        <v>971</v>
      </c>
    </row>
    <row r="224">
      <c r="Z224" s="34" t="s">
        <v>674</v>
      </c>
      <c r="AA224" s="34" t="s">
        <v>674</v>
      </c>
      <c r="AB224" s="34" t="s">
        <v>674</v>
      </c>
      <c r="AC224" s="34" t="s">
        <v>674</v>
      </c>
      <c r="AD224" s="34" t="s">
        <v>674</v>
      </c>
      <c r="AE224" s="34">
        <v>0.0</v>
      </c>
      <c r="AF224" s="34">
        <v>0.0</v>
      </c>
      <c r="AG224" s="34" t="s">
        <v>252</v>
      </c>
      <c r="AH224" s="34" t="s">
        <v>971</v>
      </c>
    </row>
    <row r="225">
      <c r="Z225" s="34" t="s">
        <v>674</v>
      </c>
      <c r="AA225" s="34" t="s">
        <v>674</v>
      </c>
      <c r="AB225" s="34" t="s">
        <v>674</v>
      </c>
      <c r="AC225" s="34" t="s">
        <v>674</v>
      </c>
      <c r="AD225" s="34" t="s">
        <v>674</v>
      </c>
      <c r="AE225" s="34">
        <v>0.0</v>
      </c>
      <c r="AF225" s="34">
        <v>0.0</v>
      </c>
      <c r="AG225" s="34" t="s">
        <v>252</v>
      </c>
      <c r="AH225" s="34" t="s">
        <v>971</v>
      </c>
    </row>
    <row r="226">
      <c r="Z226" s="34" t="s">
        <v>674</v>
      </c>
      <c r="AA226" s="34" t="s">
        <v>674</v>
      </c>
      <c r="AB226" s="34" t="s">
        <v>674</v>
      </c>
      <c r="AC226" s="34" t="s">
        <v>674</v>
      </c>
      <c r="AD226" s="34" t="s">
        <v>674</v>
      </c>
      <c r="AE226" s="34">
        <v>0.0</v>
      </c>
      <c r="AF226" s="34">
        <v>0.0</v>
      </c>
      <c r="AG226" s="34" t="s">
        <v>252</v>
      </c>
      <c r="AH226" s="34" t="s">
        <v>971</v>
      </c>
    </row>
    <row r="227">
      <c r="Z227" s="34" t="s">
        <v>674</v>
      </c>
      <c r="AA227" s="34" t="s">
        <v>674</v>
      </c>
      <c r="AB227" s="34" t="s">
        <v>674</v>
      </c>
      <c r="AC227" s="34" t="s">
        <v>674</v>
      </c>
      <c r="AD227" s="34" t="s">
        <v>674</v>
      </c>
      <c r="AE227" s="34">
        <v>0.0</v>
      </c>
      <c r="AF227" s="34">
        <v>0.0</v>
      </c>
      <c r="AG227" s="34" t="s">
        <v>252</v>
      </c>
      <c r="AH227" s="34" t="s">
        <v>971</v>
      </c>
    </row>
    <row r="228">
      <c r="Z228" s="34" t="s">
        <v>674</v>
      </c>
      <c r="AA228" s="34" t="s">
        <v>674</v>
      </c>
      <c r="AB228" s="34" t="s">
        <v>674</v>
      </c>
      <c r="AC228" s="34" t="s">
        <v>674</v>
      </c>
      <c r="AD228" s="34" t="s">
        <v>674</v>
      </c>
      <c r="AE228" s="34">
        <v>0.0</v>
      </c>
      <c r="AF228" s="34">
        <v>0.0</v>
      </c>
      <c r="AG228" s="34" t="s">
        <v>252</v>
      </c>
      <c r="AH228" s="34" t="s">
        <v>971</v>
      </c>
    </row>
    <row r="229">
      <c r="Z229" s="34" t="s">
        <v>674</v>
      </c>
      <c r="AA229" s="34" t="s">
        <v>674</v>
      </c>
      <c r="AB229" s="34" t="s">
        <v>674</v>
      </c>
      <c r="AC229" s="34" t="s">
        <v>674</v>
      </c>
      <c r="AD229" s="34" t="s">
        <v>674</v>
      </c>
      <c r="AE229" s="34">
        <v>0.0</v>
      </c>
      <c r="AF229" s="34">
        <v>0.0</v>
      </c>
      <c r="AG229" s="34" t="s">
        <v>252</v>
      </c>
      <c r="AH229" s="34" t="s">
        <v>971</v>
      </c>
    </row>
    <row r="230">
      <c r="Z230" s="34" t="s">
        <v>674</v>
      </c>
      <c r="AA230" s="34" t="s">
        <v>674</v>
      </c>
      <c r="AB230" s="34" t="s">
        <v>674</v>
      </c>
      <c r="AC230" s="34" t="s">
        <v>674</v>
      </c>
      <c r="AD230" s="34" t="s">
        <v>674</v>
      </c>
      <c r="AE230" s="34">
        <v>0.0</v>
      </c>
      <c r="AF230" s="34">
        <v>0.0</v>
      </c>
      <c r="AG230" s="34" t="s">
        <v>252</v>
      </c>
      <c r="AH230" s="34" t="s">
        <v>971</v>
      </c>
    </row>
    <row r="231">
      <c r="Z231" s="34" t="s">
        <v>674</v>
      </c>
      <c r="AA231" s="34" t="s">
        <v>674</v>
      </c>
      <c r="AB231" s="34" t="s">
        <v>674</v>
      </c>
      <c r="AC231" s="34" t="s">
        <v>674</v>
      </c>
      <c r="AD231" s="34" t="s">
        <v>674</v>
      </c>
      <c r="AE231" s="34">
        <v>0.0</v>
      </c>
      <c r="AF231" s="34">
        <v>0.0</v>
      </c>
      <c r="AG231" s="34" t="s">
        <v>252</v>
      </c>
      <c r="AH231" s="34" t="s">
        <v>971</v>
      </c>
    </row>
    <row r="232">
      <c r="Z232" s="34" t="s">
        <v>674</v>
      </c>
      <c r="AA232" s="34" t="s">
        <v>674</v>
      </c>
      <c r="AB232" s="34" t="s">
        <v>674</v>
      </c>
      <c r="AC232" s="34" t="s">
        <v>674</v>
      </c>
      <c r="AD232" s="34" t="s">
        <v>674</v>
      </c>
      <c r="AE232" s="34">
        <v>0.0</v>
      </c>
      <c r="AF232" s="34">
        <v>0.0</v>
      </c>
      <c r="AG232" s="34" t="s">
        <v>252</v>
      </c>
      <c r="AH232" s="34" t="s">
        <v>971</v>
      </c>
    </row>
    <row r="233">
      <c r="Z233" s="34" t="s">
        <v>674</v>
      </c>
      <c r="AA233" s="34" t="s">
        <v>674</v>
      </c>
      <c r="AB233" s="34" t="s">
        <v>674</v>
      </c>
      <c r="AC233" s="34" t="s">
        <v>674</v>
      </c>
      <c r="AD233" s="34" t="s">
        <v>674</v>
      </c>
      <c r="AE233" s="34">
        <v>0.0</v>
      </c>
      <c r="AF233" s="34">
        <v>0.0</v>
      </c>
      <c r="AG233" s="34" t="s">
        <v>252</v>
      </c>
      <c r="AH233" s="34" t="s">
        <v>971</v>
      </c>
    </row>
    <row r="234">
      <c r="Z234" s="34" t="s">
        <v>674</v>
      </c>
      <c r="AA234" s="34" t="s">
        <v>674</v>
      </c>
      <c r="AB234" s="34" t="s">
        <v>674</v>
      </c>
      <c r="AC234" s="34" t="s">
        <v>674</v>
      </c>
      <c r="AD234" s="34" t="s">
        <v>674</v>
      </c>
      <c r="AE234" s="34">
        <v>0.0</v>
      </c>
      <c r="AF234" s="34">
        <v>0.0</v>
      </c>
      <c r="AG234" s="34" t="s">
        <v>252</v>
      </c>
      <c r="AH234" s="34" t="s">
        <v>971</v>
      </c>
    </row>
    <row r="235">
      <c r="Z235" s="34" t="s">
        <v>674</v>
      </c>
      <c r="AA235" s="34" t="s">
        <v>674</v>
      </c>
      <c r="AB235" s="34" t="s">
        <v>674</v>
      </c>
      <c r="AC235" s="34" t="s">
        <v>674</v>
      </c>
      <c r="AD235" s="34" t="s">
        <v>674</v>
      </c>
      <c r="AE235" s="34">
        <v>0.0</v>
      </c>
      <c r="AF235" s="34">
        <v>0.0</v>
      </c>
      <c r="AG235" s="34" t="s">
        <v>252</v>
      </c>
      <c r="AH235" s="34" t="s">
        <v>971</v>
      </c>
    </row>
    <row r="236">
      <c r="Z236" s="34" t="s">
        <v>674</v>
      </c>
      <c r="AA236" s="34" t="s">
        <v>674</v>
      </c>
      <c r="AB236" s="34" t="s">
        <v>674</v>
      </c>
      <c r="AC236" s="34" t="s">
        <v>674</v>
      </c>
      <c r="AD236" s="34" t="s">
        <v>674</v>
      </c>
      <c r="AE236" s="34">
        <v>0.0</v>
      </c>
      <c r="AF236" s="34">
        <v>0.0</v>
      </c>
      <c r="AG236" s="34" t="s">
        <v>252</v>
      </c>
      <c r="AH236" s="34" t="s">
        <v>971</v>
      </c>
    </row>
    <row r="237">
      <c r="Z237" s="34" t="s">
        <v>674</v>
      </c>
      <c r="AA237" s="34" t="s">
        <v>674</v>
      </c>
      <c r="AB237" s="34" t="s">
        <v>674</v>
      </c>
      <c r="AC237" s="34" t="s">
        <v>674</v>
      </c>
      <c r="AD237" s="34" t="s">
        <v>674</v>
      </c>
      <c r="AE237" s="34">
        <v>0.0</v>
      </c>
      <c r="AF237" s="34">
        <v>0.0</v>
      </c>
      <c r="AG237" s="34" t="s">
        <v>252</v>
      </c>
      <c r="AH237" s="34" t="s">
        <v>971</v>
      </c>
    </row>
    <row r="238">
      <c r="Z238" s="34" t="s">
        <v>674</v>
      </c>
      <c r="AA238" s="34" t="s">
        <v>674</v>
      </c>
      <c r="AB238" s="34" t="s">
        <v>674</v>
      </c>
      <c r="AC238" s="34" t="s">
        <v>674</v>
      </c>
      <c r="AD238" s="34" t="s">
        <v>674</v>
      </c>
      <c r="AE238" s="34">
        <v>0.0</v>
      </c>
      <c r="AF238" s="34">
        <v>0.0</v>
      </c>
      <c r="AG238" s="34" t="s">
        <v>252</v>
      </c>
      <c r="AH238" s="34" t="s">
        <v>971</v>
      </c>
    </row>
    <row r="239">
      <c r="Z239" s="34" t="s">
        <v>674</v>
      </c>
      <c r="AA239" s="34" t="s">
        <v>674</v>
      </c>
      <c r="AB239" s="34" t="s">
        <v>674</v>
      </c>
      <c r="AC239" s="34" t="s">
        <v>674</v>
      </c>
      <c r="AD239" s="34" t="s">
        <v>674</v>
      </c>
      <c r="AE239" s="34">
        <v>0.0</v>
      </c>
      <c r="AF239" s="34">
        <v>0.0</v>
      </c>
      <c r="AG239" s="34" t="s">
        <v>252</v>
      </c>
      <c r="AH239" s="34" t="s">
        <v>971</v>
      </c>
    </row>
    <row r="240">
      <c r="Z240" s="34" t="s">
        <v>674</v>
      </c>
      <c r="AA240" s="34" t="s">
        <v>674</v>
      </c>
      <c r="AB240" s="34" t="s">
        <v>674</v>
      </c>
      <c r="AC240" s="34" t="s">
        <v>674</v>
      </c>
      <c r="AD240" s="34" t="s">
        <v>674</v>
      </c>
      <c r="AE240" s="34">
        <v>0.0</v>
      </c>
      <c r="AF240" s="34">
        <v>0.0</v>
      </c>
      <c r="AG240" s="34" t="s">
        <v>252</v>
      </c>
      <c r="AH240" s="34" t="s">
        <v>971</v>
      </c>
    </row>
    <row r="241">
      <c r="Z241" s="34" t="s">
        <v>674</v>
      </c>
      <c r="AA241" s="34" t="s">
        <v>674</v>
      </c>
      <c r="AB241" s="34" t="s">
        <v>674</v>
      </c>
      <c r="AC241" s="34" t="s">
        <v>674</v>
      </c>
      <c r="AD241" s="34" t="s">
        <v>674</v>
      </c>
      <c r="AE241" s="34">
        <v>0.0</v>
      </c>
      <c r="AF241" s="34">
        <v>0.0</v>
      </c>
      <c r="AG241" s="34" t="s">
        <v>252</v>
      </c>
      <c r="AH241" s="34" t="s">
        <v>971</v>
      </c>
    </row>
    <row r="242">
      <c r="Z242" s="34" t="s">
        <v>674</v>
      </c>
      <c r="AA242" s="34" t="s">
        <v>674</v>
      </c>
      <c r="AB242" s="34" t="s">
        <v>674</v>
      </c>
      <c r="AC242" s="34" t="s">
        <v>674</v>
      </c>
      <c r="AD242" s="34" t="s">
        <v>674</v>
      </c>
      <c r="AE242" s="34">
        <v>0.0</v>
      </c>
      <c r="AF242" s="34">
        <v>0.0</v>
      </c>
      <c r="AG242" s="34" t="s">
        <v>252</v>
      </c>
      <c r="AH242" s="34" t="s">
        <v>971</v>
      </c>
    </row>
    <row r="243">
      <c r="Z243" s="34" t="s">
        <v>674</v>
      </c>
      <c r="AA243" s="34" t="s">
        <v>674</v>
      </c>
      <c r="AB243" s="34" t="s">
        <v>674</v>
      </c>
      <c r="AC243" s="34" t="s">
        <v>674</v>
      </c>
      <c r="AD243" s="34" t="s">
        <v>674</v>
      </c>
      <c r="AE243" s="34">
        <v>0.0</v>
      </c>
      <c r="AF243" s="34">
        <v>0.0</v>
      </c>
      <c r="AG243" s="34" t="s">
        <v>252</v>
      </c>
      <c r="AH243" s="34" t="s">
        <v>971</v>
      </c>
    </row>
    <row r="244">
      <c r="Z244" s="34" t="s">
        <v>674</v>
      </c>
      <c r="AA244" s="34" t="s">
        <v>674</v>
      </c>
      <c r="AB244" s="34" t="s">
        <v>674</v>
      </c>
      <c r="AC244" s="34" t="s">
        <v>674</v>
      </c>
      <c r="AD244" s="34" t="s">
        <v>674</v>
      </c>
      <c r="AE244" s="34">
        <v>0.0</v>
      </c>
      <c r="AF244" s="34">
        <v>0.0</v>
      </c>
      <c r="AG244" s="34" t="s">
        <v>252</v>
      </c>
      <c r="AH244" s="34" t="s">
        <v>971</v>
      </c>
    </row>
    <row r="245">
      <c r="Z245" s="34" t="s">
        <v>674</v>
      </c>
      <c r="AA245" s="34" t="s">
        <v>674</v>
      </c>
      <c r="AB245" s="34" t="s">
        <v>674</v>
      </c>
      <c r="AC245" s="34" t="s">
        <v>674</v>
      </c>
      <c r="AD245" s="34" t="s">
        <v>674</v>
      </c>
      <c r="AE245" s="34">
        <v>0.0</v>
      </c>
      <c r="AF245" s="34">
        <v>0.0</v>
      </c>
      <c r="AG245" s="34" t="s">
        <v>252</v>
      </c>
      <c r="AH245" s="34" t="s">
        <v>971</v>
      </c>
    </row>
    <row r="246">
      <c r="Z246" s="34" t="s">
        <v>674</v>
      </c>
      <c r="AA246" s="34" t="s">
        <v>674</v>
      </c>
      <c r="AB246" s="34" t="s">
        <v>674</v>
      </c>
      <c r="AC246" s="34" t="s">
        <v>674</v>
      </c>
      <c r="AD246" s="34" t="s">
        <v>674</v>
      </c>
      <c r="AE246" s="34">
        <v>0.0</v>
      </c>
      <c r="AF246" s="34">
        <v>0.0</v>
      </c>
      <c r="AG246" s="34" t="s">
        <v>252</v>
      </c>
      <c r="AH246" s="34" t="s">
        <v>971</v>
      </c>
    </row>
    <row r="247">
      <c r="AE247" s="34" t="s">
        <v>674</v>
      </c>
      <c r="AF247" s="34">
        <v>0.0</v>
      </c>
      <c r="AG247" s="34" t="s">
        <v>252</v>
      </c>
      <c r="AH247" s="34" t="s">
        <v>971</v>
      </c>
    </row>
    <row r="248">
      <c r="AE248" s="34" t="s">
        <v>674</v>
      </c>
      <c r="AF248" s="34">
        <v>0.0</v>
      </c>
      <c r="AG248" s="34" t="s">
        <v>252</v>
      </c>
      <c r="AH248" s="34" t="s">
        <v>971</v>
      </c>
    </row>
    <row r="249">
      <c r="AE249" s="34" t="s">
        <v>674</v>
      </c>
      <c r="AF249" s="34">
        <v>0.0</v>
      </c>
      <c r="AG249" s="34" t="s">
        <v>252</v>
      </c>
      <c r="AH249" s="34" t="s">
        <v>971</v>
      </c>
    </row>
    <row r="250">
      <c r="AE250" s="34" t="s">
        <v>674</v>
      </c>
      <c r="AF250" s="34">
        <v>0.0</v>
      </c>
      <c r="AG250" s="34" t="s">
        <v>252</v>
      </c>
      <c r="AH250" s="34" t="s">
        <v>971</v>
      </c>
    </row>
    <row r="251">
      <c r="AE251" s="34" t="s">
        <v>674</v>
      </c>
      <c r="AF251" s="34">
        <v>0.0</v>
      </c>
      <c r="AG251" s="34" t="s">
        <v>252</v>
      </c>
      <c r="AH251" s="34" t="s">
        <v>971</v>
      </c>
    </row>
    <row r="252">
      <c r="AE252" s="34" t="s">
        <v>674</v>
      </c>
      <c r="AF252" s="34">
        <v>0.0</v>
      </c>
      <c r="AG252" s="34" t="s">
        <v>252</v>
      </c>
      <c r="AH252" s="34" t="s">
        <v>971</v>
      </c>
    </row>
    <row r="253">
      <c r="AE253" s="34" t="s">
        <v>674</v>
      </c>
      <c r="AF253" s="34">
        <v>0.0</v>
      </c>
      <c r="AG253" s="34" t="s">
        <v>252</v>
      </c>
      <c r="AH253" s="34" t="s">
        <v>971</v>
      </c>
    </row>
    <row r="254">
      <c r="AE254" s="34" t="s">
        <v>674</v>
      </c>
      <c r="AF254" s="34">
        <v>0.0</v>
      </c>
      <c r="AG254" s="34" t="s">
        <v>252</v>
      </c>
      <c r="AH254" s="34" t="s">
        <v>971</v>
      </c>
    </row>
    <row r="255">
      <c r="AE255" s="34" t="s">
        <v>674</v>
      </c>
      <c r="AF255" s="34">
        <v>0.0</v>
      </c>
      <c r="AG255" s="34" t="s">
        <v>252</v>
      </c>
      <c r="AH255" s="34" t="s">
        <v>971</v>
      </c>
    </row>
    <row r="256">
      <c r="AE256" s="34" t="s">
        <v>674</v>
      </c>
      <c r="AF256" s="34">
        <v>0.0</v>
      </c>
      <c r="AG256" s="34" t="s">
        <v>252</v>
      </c>
      <c r="AH256" s="34" t="s">
        <v>971</v>
      </c>
    </row>
    <row r="257">
      <c r="AE257" s="34" t="s">
        <v>674</v>
      </c>
      <c r="AF257" s="34">
        <v>0.0</v>
      </c>
      <c r="AG257" s="34" t="s">
        <v>252</v>
      </c>
      <c r="AH257" s="34" t="s">
        <v>971</v>
      </c>
    </row>
    <row r="258">
      <c r="AE258" s="34" t="s">
        <v>674</v>
      </c>
      <c r="AF258" s="34">
        <v>0.0</v>
      </c>
      <c r="AG258" s="34" t="s">
        <v>252</v>
      </c>
      <c r="AH258" s="34" t="s">
        <v>971</v>
      </c>
    </row>
    <row r="259">
      <c r="AE259" s="34" t="s">
        <v>674</v>
      </c>
      <c r="AF259" s="34">
        <v>0.0</v>
      </c>
      <c r="AG259" s="34" t="s">
        <v>252</v>
      </c>
      <c r="AH259" s="34" t="s">
        <v>971</v>
      </c>
    </row>
    <row r="260">
      <c r="AE260" s="34" t="s">
        <v>674</v>
      </c>
      <c r="AF260" s="34">
        <v>0.0</v>
      </c>
      <c r="AG260" s="34" t="s">
        <v>252</v>
      </c>
      <c r="AH260" s="34" t="s">
        <v>971</v>
      </c>
    </row>
    <row r="261">
      <c r="AE261" s="34" t="s">
        <v>674</v>
      </c>
      <c r="AF261" s="34">
        <v>0.0</v>
      </c>
      <c r="AG261" s="34" t="s">
        <v>252</v>
      </c>
      <c r="AH261" s="34" t="s">
        <v>971</v>
      </c>
    </row>
    <row r="262">
      <c r="AE262" s="34" t="s">
        <v>674</v>
      </c>
      <c r="AF262" s="34">
        <v>0.0</v>
      </c>
      <c r="AG262" s="34" t="s">
        <v>252</v>
      </c>
      <c r="AH262" s="34" t="s">
        <v>971</v>
      </c>
    </row>
    <row r="263">
      <c r="AE263" s="34" t="s">
        <v>674</v>
      </c>
      <c r="AF263" s="34">
        <v>0.0</v>
      </c>
      <c r="AG263" s="34" t="s">
        <v>252</v>
      </c>
      <c r="AH263" s="34" t="s">
        <v>971</v>
      </c>
    </row>
    <row r="264">
      <c r="AE264" s="34" t="s">
        <v>674</v>
      </c>
      <c r="AF264" s="34">
        <v>0.0</v>
      </c>
      <c r="AG264" s="34" t="s">
        <v>252</v>
      </c>
      <c r="AH264" s="34" t="s">
        <v>971</v>
      </c>
    </row>
    <row r="265">
      <c r="AE265" s="34" t="s">
        <v>674</v>
      </c>
      <c r="AF265" s="34">
        <v>0.0</v>
      </c>
      <c r="AG265" s="34" t="s">
        <v>252</v>
      </c>
      <c r="AH265" s="34" t="s">
        <v>971</v>
      </c>
    </row>
    <row r="266">
      <c r="AE266" s="34" t="s">
        <v>674</v>
      </c>
      <c r="AF266" s="34">
        <v>0.0</v>
      </c>
      <c r="AG266" s="34" t="s">
        <v>252</v>
      </c>
      <c r="AH266" s="34" t="s">
        <v>971</v>
      </c>
    </row>
    <row r="267">
      <c r="AE267" s="34" t="s">
        <v>674</v>
      </c>
      <c r="AF267" s="34">
        <v>0.0</v>
      </c>
      <c r="AG267" s="34" t="s">
        <v>252</v>
      </c>
      <c r="AH267" s="34" t="s">
        <v>971</v>
      </c>
    </row>
    <row r="268">
      <c r="AE268" s="34" t="s">
        <v>674</v>
      </c>
      <c r="AF268" s="34">
        <v>0.0</v>
      </c>
      <c r="AG268" s="34" t="s">
        <v>252</v>
      </c>
      <c r="AH268" s="34" t="s">
        <v>971</v>
      </c>
    </row>
    <row r="269">
      <c r="AE269" s="34" t="s">
        <v>674</v>
      </c>
      <c r="AF269" s="34">
        <v>0.0</v>
      </c>
      <c r="AG269" s="34" t="s">
        <v>252</v>
      </c>
      <c r="AH269" s="34" t="s">
        <v>971</v>
      </c>
    </row>
    <row r="270">
      <c r="AE270" s="34" t="s">
        <v>674</v>
      </c>
      <c r="AF270" s="34">
        <v>0.0</v>
      </c>
      <c r="AG270" s="34" t="s">
        <v>252</v>
      </c>
      <c r="AH270" s="34" t="s">
        <v>971</v>
      </c>
    </row>
    <row r="271">
      <c r="AE271" s="34" t="s">
        <v>674</v>
      </c>
      <c r="AF271" s="34">
        <v>0.0</v>
      </c>
      <c r="AG271" s="34" t="s">
        <v>252</v>
      </c>
      <c r="AH271" s="34" t="s">
        <v>971</v>
      </c>
    </row>
    <row r="272">
      <c r="AE272" s="34" t="s">
        <v>674</v>
      </c>
      <c r="AF272" s="34">
        <v>0.0</v>
      </c>
      <c r="AG272" s="34" t="s">
        <v>252</v>
      </c>
      <c r="AH272" s="34" t="s">
        <v>971</v>
      </c>
    </row>
    <row r="273">
      <c r="AE273" s="34" t="s">
        <v>674</v>
      </c>
      <c r="AF273" s="34">
        <v>0.0</v>
      </c>
      <c r="AG273" s="34" t="s">
        <v>252</v>
      </c>
      <c r="AH273" s="34" t="s">
        <v>971</v>
      </c>
    </row>
    <row r="274">
      <c r="AE274" s="34" t="s">
        <v>674</v>
      </c>
      <c r="AF274" s="34">
        <v>0.0</v>
      </c>
      <c r="AG274" s="34" t="s">
        <v>252</v>
      </c>
      <c r="AH274" s="34" t="s">
        <v>971</v>
      </c>
    </row>
    <row r="275">
      <c r="AE275" s="34" t="s">
        <v>674</v>
      </c>
      <c r="AF275" s="34">
        <v>0.0</v>
      </c>
      <c r="AG275" s="34" t="s">
        <v>252</v>
      </c>
      <c r="AH275" s="34" t="s">
        <v>971</v>
      </c>
    </row>
    <row r="276">
      <c r="AE276" s="34" t="s">
        <v>674</v>
      </c>
      <c r="AF276" s="34">
        <v>0.0</v>
      </c>
      <c r="AG276" s="34" t="s">
        <v>252</v>
      </c>
      <c r="AH276" s="34" t="s">
        <v>971</v>
      </c>
    </row>
    <row r="277">
      <c r="AE277" s="34" t="s">
        <v>674</v>
      </c>
      <c r="AF277" s="34">
        <v>0.0</v>
      </c>
      <c r="AG277" s="34" t="s">
        <v>252</v>
      </c>
      <c r="AH277" s="34" t="s">
        <v>971</v>
      </c>
    </row>
    <row r="278">
      <c r="AE278" s="34" t="s">
        <v>674</v>
      </c>
      <c r="AF278" s="34">
        <v>0.0</v>
      </c>
      <c r="AG278" s="34" t="s">
        <v>252</v>
      </c>
      <c r="AH278" s="34" t="s">
        <v>971</v>
      </c>
    </row>
    <row r="279">
      <c r="AE279" s="34" t="s">
        <v>674</v>
      </c>
      <c r="AF279" s="34">
        <v>0.0</v>
      </c>
      <c r="AG279" s="34" t="s">
        <v>252</v>
      </c>
      <c r="AH279" s="34" t="s">
        <v>971</v>
      </c>
    </row>
    <row r="280">
      <c r="AE280" s="34" t="s">
        <v>674</v>
      </c>
      <c r="AF280" s="34">
        <v>0.0</v>
      </c>
      <c r="AG280" s="34" t="s">
        <v>252</v>
      </c>
      <c r="AH280" s="34" t="s">
        <v>971</v>
      </c>
    </row>
    <row r="281">
      <c r="AE281" s="34" t="s">
        <v>674</v>
      </c>
      <c r="AF281" s="34">
        <v>0.0</v>
      </c>
      <c r="AG281" s="34" t="s">
        <v>252</v>
      </c>
      <c r="AH281" s="34" t="s">
        <v>971</v>
      </c>
    </row>
    <row r="282">
      <c r="AE282" s="34" t="s">
        <v>674</v>
      </c>
      <c r="AF282" s="34">
        <v>0.0</v>
      </c>
      <c r="AG282" s="34" t="s">
        <v>252</v>
      </c>
      <c r="AH282" s="34" t="s">
        <v>971</v>
      </c>
    </row>
    <row r="283">
      <c r="AE283" s="34" t="s">
        <v>674</v>
      </c>
      <c r="AF283" s="34">
        <v>0.0</v>
      </c>
      <c r="AG283" s="34" t="s">
        <v>252</v>
      </c>
      <c r="AH283" s="34" t="s">
        <v>971</v>
      </c>
    </row>
    <row r="284">
      <c r="AE284" s="34" t="s">
        <v>674</v>
      </c>
      <c r="AF284" s="34">
        <v>0.0</v>
      </c>
      <c r="AG284" s="34" t="s">
        <v>252</v>
      </c>
      <c r="AH284" s="34" t="s">
        <v>971</v>
      </c>
    </row>
    <row r="285">
      <c r="AE285" s="34" t="s">
        <v>674</v>
      </c>
      <c r="AF285" s="34">
        <v>0.0</v>
      </c>
      <c r="AG285" s="34" t="s">
        <v>252</v>
      </c>
      <c r="AH285" s="34" t="s">
        <v>971</v>
      </c>
    </row>
    <row r="286">
      <c r="AE286" s="34" t="s">
        <v>674</v>
      </c>
      <c r="AF286" s="34">
        <v>0.0</v>
      </c>
      <c r="AG286" s="34" t="s">
        <v>252</v>
      </c>
      <c r="AH286" s="34" t="s">
        <v>971</v>
      </c>
    </row>
    <row r="287">
      <c r="AE287" s="34" t="s">
        <v>674</v>
      </c>
      <c r="AF287" s="34">
        <v>0.0</v>
      </c>
      <c r="AG287" s="34" t="s">
        <v>252</v>
      </c>
      <c r="AH287" s="34" t="s">
        <v>971</v>
      </c>
    </row>
    <row r="288">
      <c r="AE288" s="34" t="s">
        <v>674</v>
      </c>
      <c r="AF288" s="34">
        <v>0.0</v>
      </c>
      <c r="AG288" s="34" t="s">
        <v>252</v>
      </c>
      <c r="AH288" s="34" t="s">
        <v>971</v>
      </c>
    </row>
    <row r="289">
      <c r="AE289" s="34" t="s">
        <v>674</v>
      </c>
      <c r="AF289" s="34">
        <v>0.0</v>
      </c>
      <c r="AG289" s="34" t="s">
        <v>252</v>
      </c>
      <c r="AH289" s="34" t="s">
        <v>971</v>
      </c>
    </row>
    <row r="290">
      <c r="AE290" s="34" t="s">
        <v>674</v>
      </c>
      <c r="AF290" s="34">
        <v>0.0</v>
      </c>
      <c r="AG290" s="34" t="s">
        <v>252</v>
      </c>
      <c r="AH290" s="34" t="s">
        <v>971</v>
      </c>
    </row>
    <row r="291">
      <c r="AE291" s="34" t="s">
        <v>674</v>
      </c>
      <c r="AF291" s="34">
        <v>0.0</v>
      </c>
      <c r="AG291" s="34" t="s">
        <v>252</v>
      </c>
      <c r="AH291" s="34" t="s">
        <v>971</v>
      </c>
    </row>
    <row r="292">
      <c r="AE292" s="34" t="s">
        <v>674</v>
      </c>
      <c r="AF292" s="34">
        <v>0.0</v>
      </c>
      <c r="AG292" s="34" t="s">
        <v>252</v>
      </c>
      <c r="AH292" s="34" t="s">
        <v>971</v>
      </c>
    </row>
    <row r="293">
      <c r="AE293" s="34" t="s">
        <v>674</v>
      </c>
      <c r="AF293" s="34">
        <v>0.0</v>
      </c>
      <c r="AG293" s="34" t="s">
        <v>252</v>
      </c>
      <c r="AH293" s="34" t="s">
        <v>971</v>
      </c>
    </row>
    <row r="294">
      <c r="AE294" s="34" t="s">
        <v>674</v>
      </c>
      <c r="AF294" s="34">
        <v>0.0</v>
      </c>
      <c r="AG294" s="34" t="s">
        <v>252</v>
      </c>
      <c r="AH294" s="34" t="s">
        <v>971</v>
      </c>
    </row>
    <row r="295">
      <c r="AE295" s="34" t="s">
        <v>674</v>
      </c>
      <c r="AF295" s="34">
        <v>0.0</v>
      </c>
      <c r="AG295" s="34" t="s">
        <v>252</v>
      </c>
      <c r="AH295" s="34" t="s">
        <v>971</v>
      </c>
    </row>
    <row r="296">
      <c r="AE296" s="34" t="s">
        <v>674</v>
      </c>
      <c r="AF296" s="34">
        <v>0.0</v>
      </c>
      <c r="AG296" s="34" t="s">
        <v>252</v>
      </c>
      <c r="AH296" s="34" t="s">
        <v>971</v>
      </c>
    </row>
    <row r="297">
      <c r="AE297" s="34" t="s">
        <v>674</v>
      </c>
      <c r="AF297" s="34">
        <v>0.0</v>
      </c>
      <c r="AG297" s="34" t="s">
        <v>252</v>
      </c>
      <c r="AH297" s="34" t="s">
        <v>971</v>
      </c>
    </row>
    <row r="298">
      <c r="AE298" s="34" t="s">
        <v>674</v>
      </c>
      <c r="AF298" s="34">
        <v>0.0</v>
      </c>
      <c r="AG298" s="34" t="s">
        <v>252</v>
      </c>
      <c r="AH298" s="34" t="s">
        <v>971</v>
      </c>
    </row>
    <row r="299">
      <c r="AE299" s="34" t="s">
        <v>674</v>
      </c>
      <c r="AF299" s="34">
        <v>0.0</v>
      </c>
      <c r="AG299" s="34" t="s">
        <v>252</v>
      </c>
      <c r="AH299" s="34" t="s">
        <v>971</v>
      </c>
    </row>
    <row r="300">
      <c r="AE300" s="34" t="s">
        <v>674</v>
      </c>
      <c r="AF300" s="34">
        <v>0.0</v>
      </c>
      <c r="AG300" s="34" t="s">
        <v>252</v>
      </c>
      <c r="AH300" s="34" t="s">
        <v>971</v>
      </c>
    </row>
    <row r="301">
      <c r="AE301" s="34" t="s">
        <v>674</v>
      </c>
      <c r="AF301" s="34">
        <v>0.0</v>
      </c>
      <c r="AG301" s="34" t="s">
        <v>252</v>
      </c>
      <c r="AH301" s="34" t="s">
        <v>971</v>
      </c>
    </row>
    <row r="302">
      <c r="AE302" s="34" t="s">
        <v>674</v>
      </c>
      <c r="AF302" s="34">
        <v>0.0</v>
      </c>
      <c r="AG302" s="34" t="s">
        <v>252</v>
      </c>
      <c r="AH302" s="34" t="s">
        <v>971</v>
      </c>
    </row>
    <row r="303">
      <c r="AE303" s="34" t="s">
        <v>674</v>
      </c>
      <c r="AF303" s="34">
        <v>0.0</v>
      </c>
      <c r="AG303" s="34" t="s">
        <v>252</v>
      </c>
      <c r="AH303" s="34" t="s">
        <v>971</v>
      </c>
    </row>
    <row r="304">
      <c r="AE304" s="34" t="s">
        <v>674</v>
      </c>
      <c r="AF304" s="34">
        <v>0.0</v>
      </c>
      <c r="AG304" s="34" t="s">
        <v>252</v>
      </c>
      <c r="AH304" s="34" t="s">
        <v>971</v>
      </c>
    </row>
    <row r="305">
      <c r="AE305" s="34" t="s">
        <v>674</v>
      </c>
      <c r="AF305" s="34">
        <v>0.0</v>
      </c>
      <c r="AG305" s="34" t="s">
        <v>252</v>
      </c>
      <c r="AH305" s="34" t="s">
        <v>971</v>
      </c>
    </row>
    <row r="306">
      <c r="AE306" s="34" t="s">
        <v>674</v>
      </c>
      <c r="AF306" s="34">
        <v>0.0</v>
      </c>
      <c r="AG306" s="34" t="s">
        <v>252</v>
      </c>
      <c r="AH306" s="34" t="s">
        <v>971</v>
      </c>
    </row>
    <row r="307">
      <c r="AE307" s="34" t="s">
        <v>674</v>
      </c>
      <c r="AF307" s="34">
        <v>0.0</v>
      </c>
      <c r="AG307" s="34" t="s">
        <v>252</v>
      </c>
      <c r="AH307" s="34" t="s">
        <v>971</v>
      </c>
    </row>
    <row r="308">
      <c r="AE308" s="34" t="s">
        <v>674</v>
      </c>
      <c r="AF308" s="34">
        <v>0.0</v>
      </c>
      <c r="AG308" s="34" t="s">
        <v>252</v>
      </c>
      <c r="AH308" s="34" t="s">
        <v>971</v>
      </c>
    </row>
    <row r="309">
      <c r="AE309" s="34" t="s">
        <v>674</v>
      </c>
      <c r="AF309" s="34">
        <v>0.0</v>
      </c>
      <c r="AG309" s="34" t="s">
        <v>252</v>
      </c>
      <c r="AH309" s="34" t="s">
        <v>971</v>
      </c>
    </row>
    <row r="310">
      <c r="AE310" s="34" t="s">
        <v>674</v>
      </c>
      <c r="AF310" s="34">
        <v>0.0</v>
      </c>
      <c r="AG310" s="34" t="s">
        <v>252</v>
      </c>
      <c r="AH310" s="34" t="s">
        <v>971</v>
      </c>
    </row>
    <row r="311">
      <c r="AE311" s="34" t="s">
        <v>674</v>
      </c>
      <c r="AF311" s="34">
        <v>0.0</v>
      </c>
      <c r="AG311" s="34" t="s">
        <v>252</v>
      </c>
      <c r="AH311" s="34" t="s">
        <v>971</v>
      </c>
    </row>
    <row r="312">
      <c r="AE312" s="34" t="s">
        <v>674</v>
      </c>
      <c r="AF312" s="34">
        <v>0.0</v>
      </c>
      <c r="AG312" s="34" t="s">
        <v>252</v>
      </c>
      <c r="AH312" s="34" t="s">
        <v>971</v>
      </c>
    </row>
    <row r="313">
      <c r="AE313" s="34" t="s">
        <v>674</v>
      </c>
      <c r="AF313" s="34">
        <v>0.0</v>
      </c>
      <c r="AG313" s="34" t="s">
        <v>252</v>
      </c>
      <c r="AH313" s="34" t="s">
        <v>971</v>
      </c>
    </row>
    <row r="314">
      <c r="AE314" s="34" t="s">
        <v>674</v>
      </c>
      <c r="AF314" s="34">
        <v>0.0</v>
      </c>
      <c r="AG314" s="34" t="s">
        <v>252</v>
      </c>
      <c r="AH314" s="34" t="s">
        <v>971</v>
      </c>
    </row>
    <row r="315">
      <c r="AE315" s="34" t="s">
        <v>674</v>
      </c>
      <c r="AF315" s="34">
        <v>0.0</v>
      </c>
      <c r="AG315" s="34" t="s">
        <v>252</v>
      </c>
      <c r="AH315" s="34" t="s">
        <v>971</v>
      </c>
    </row>
    <row r="316">
      <c r="AE316" s="34" t="s">
        <v>674</v>
      </c>
      <c r="AF316" s="34">
        <v>0.0</v>
      </c>
      <c r="AG316" s="34" t="s">
        <v>252</v>
      </c>
      <c r="AH316" s="34" t="s">
        <v>971</v>
      </c>
    </row>
    <row r="317">
      <c r="AE317" s="34" t="s">
        <v>674</v>
      </c>
      <c r="AF317" s="34">
        <v>0.0</v>
      </c>
      <c r="AG317" s="34" t="s">
        <v>252</v>
      </c>
      <c r="AH317" s="34" t="s">
        <v>971</v>
      </c>
    </row>
    <row r="318">
      <c r="AE318" s="34" t="s">
        <v>674</v>
      </c>
      <c r="AF318" s="34">
        <v>0.0</v>
      </c>
      <c r="AG318" s="34" t="s">
        <v>252</v>
      </c>
      <c r="AH318" s="34" t="s">
        <v>971</v>
      </c>
    </row>
    <row r="319">
      <c r="AE319" s="34" t="s">
        <v>674</v>
      </c>
      <c r="AF319" s="34">
        <v>0.0</v>
      </c>
      <c r="AG319" s="34" t="s">
        <v>252</v>
      </c>
      <c r="AH319" s="34" t="s">
        <v>971</v>
      </c>
    </row>
    <row r="320">
      <c r="AE320" s="34" t="s">
        <v>674</v>
      </c>
      <c r="AF320" s="34">
        <v>0.0</v>
      </c>
      <c r="AG320" s="34" t="s">
        <v>252</v>
      </c>
      <c r="AH320" s="34" t="s">
        <v>971</v>
      </c>
    </row>
    <row r="321">
      <c r="AE321" s="34" t="s">
        <v>674</v>
      </c>
      <c r="AF321" s="34">
        <v>0.0</v>
      </c>
      <c r="AG321" s="34" t="s">
        <v>252</v>
      </c>
      <c r="AH321" s="34" t="s">
        <v>971</v>
      </c>
    </row>
    <row r="322">
      <c r="AE322" s="34" t="s">
        <v>674</v>
      </c>
      <c r="AF322" s="34">
        <v>0.0</v>
      </c>
      <c r="AG322" s="34" t="s">
        <v>252</v>
      </c>
      <c r="AH322" s="34" t="s">
        <v>971</v>
      </c>
    </row>
    <row r="323">
      <c r="AE323" s="34" t="s">
        <v>674</v>
      </c>
      <c r="AF323" s="34">
        <v>0.0</v>
      </c>
      <c r="AG323" s="34" t="s">
        <v>252</v>
      </c>
      <c r="AH323" s="34" t="s">
        <v>971</v>
      </c>
    </row>
    <row r="324">
      <c r="AE324" s="34" t="s">
        <v>674</v>
      </c>
      <c r="AF324" s="34">
        <v>0.0</v>
      </c>
      <c r="AG324" s="34" t="s">
        <v>252</v>
      </c>
      <c r="AH324" s="34" t="s">
        <v>971</v>
      </c>
    </row>
    <row r="325">
      <c r="AE325" s="34" t="s">
        <v>674</v>
      </c>
      <c r="AF325" s="34">
        <v>0.0</v>
      </c>
      <c r="AG325" s="34" t="s">
        <v>252</v>
      </c>
      <c r="AH325" s="34" t="s">
        <v>971</v>
      </c>
    </row>
    <row r="326">
      <c r="AE326" s="34" t="s">
        <v>674</v>
      </c>
      <c r="AF326" s="34">
        <v>0.0</v>
      </c>
      <c r="AG326" s="34" t="s">
        <v>252</v>
      </c>
      <c r="AH326" s="34" t="s">
        <v>971</v>
      </c>
    </row>
    <row r="327">
      <c r="AE327" s="34" t="s">
        <v>674</v>
      </c>
      <c r="AF327" s="34">
        <v>0.0</v>
      </c>
      <c r="AG327" s="34" t="s">
        <v>252</v>
      </c>
      <c r="AH327" s="34" t="s">
        <v>971</v>
      </c>
    </row>
    <row r="328">
      <c r="AE328" s="34" t="s">
        <v>674</v>
      </c>
      <c r="AF328" s="34">
        <v>0.0</v>
      </c>
      <c r="AG328" s="34" t="s">
        <v>252</v>
      </c>
      <c r="AH328" s="34" t="s">
        <v>971</v>
      </c>
    </row>
    <row r="329">
      <c r="AE329" s="34" t="s">
        <v>674</v>
      </c>
      <c r="AF329" s="34">
        <v>0.0</v>
      </c>
      <c r="AG329" s="34" t="s">
        <v>252</v>
      </c>
      <c r="AH329" s="34" t="s">
        <v>971</v>
      </c>
    </row>
    <row r="330">
      <c r="AE330" s="34" t="s">
        <v>674</v>
      </c>
      <c r="AF330" s="34">
        <v>0.0</v>
      </c>
      <c r="AG330" s="34" t="s">
        <v>252</v>
      </c>
      <c r="AH330" s="34" t="s">
        <v>971</v>
      </c>
    </row>
    <row r="331">
      <c r="AE331" s="34" t="s">
        <v>674</v>
      </c>
      <c r="AF331" s="34">
        <v>0.0</v>
      </c>
      <c r="AG331" s="34" t="s">
        <v>252</v>
      </c>
      <c r="AH331" s="34" t="s">
        <v>971</v>
      </c>
    </row>
    <row r="332">
      <c r="AE332" s="34" t="s">
        <v>674</v>
      </c>
      <c r="AF332" s="34">
        <v>0.0</v>
      </c>
      <c r="AG332" s="34" t="s">
        <v>252</v>
      </c>
      <c r="AH332" s="34" t="s">
        <v>971</v>
      </c>
    </row>
    <row r="333">
      <c r="AE333" s="34" t="s">
        <v>674</v>
      </c>
      <c r="AF333" s="34">
        <v>0.0</v>
      </c>
      <c r="AG333" s="34" t="s">
        <v>252</v>
      </c>
      <c r="AH333" s="34" t="s">
        <v>971</v>
      </c>
    </row>
    <row r="334">
      <c r="AE334" s="34" t="s">
        <v>674</v>
      </c>
      <c r="AF334" s="34">
        <v>0.0</v>
      </c>
      <c r="AG334" s="34" t="s">
        <v>252</v>
      </c>
      <c r="AH334" s="34" t="s">
        <v>971</v>
      </c>
    </row>
    <row r="335">
      <c r="AE335" s="34" t="s">
        <v>674</v>
      </c>
      <c r="AF335" s="34">
        <v>0.0</v>
      </c>
      <c r="AG335" s="34" t="s">
        <v>252</v>
      </c>
      <c r="AH335" s="34" t="s">
        <v>971</v>
      </c>
    </row>
    <row r="336">
      <c r="AE336" s="34" t="s">
        <v>674</v>
      </c>
      <c r="AF336" s="34">
        <v>0.0</v>
      </c>
      <c r="AG336" s="34" t="s">
        <v>252</v>
      </c>
      <c r="AH336" s="34" t="s">
        <v>971</v>
      </c>
    </row>
    <row r="337">
      <c r="AE337" s="34" t="s">
        <v>674</v>
      </c>
      <c r="AF337" s="34">
        <v>0.0</v>
      </c>
      <c r="AG337" s="34" t="s">
        <v>252</v>
      </c>
      <c r="AH337" s="34" t="s">
        <v>971</v>
      </c>
    </row>
    <row r="338">
      <c r="AE338" s="34" t="s">
        <v>674</v>
      </c>
      <c r="AF338" s="34">
        <v>0.0</v>
      </c>
      <c r="AG338" s="34" t="s">
        <v>252</v>
      </c>
      <c r="AH338" s="34" t="s">
        <v>971</v>
      </c>
    </row>
    <row r="339">
      <c r="AE339" s="34" t="s">
        <v>674</v>
      </c>
      <c r="AF339" s="34">
        <v>0.0</v>
      </c>
      <c r="AG339" s="34" t="s">
        <v>252</v>
      </c>
      <c r="AH339" s="34" t="s">
        <v>971</v>
      </c>
    </row>
    <row r="340">
      <c r="AE340" s="34" t="s">
        <v>674</v>
      </c>
      <c r="AF340" s="34">
        <v>0.0</v>
      </c>
      <c r="AG340" s="34" t="s">
        <v>252</v>
      </c>
      <c r="AH340" s="34" t="s">
        <v>971</v>
      </c>
    </row>
    <row r="341">
      <c r="AE341" s="34" t="s">
        <v>674</v>
      </c>
      <c r="AF341" s="34">
        <v>0.0</v>
      </c>
      <c r="AG341" s="34" t="s">
        <v>252</v>
      </c>
      <c r="AH341" s="34" t="s">
        <v>971</v>
      </c>
    </row>
    <row r="342">
      <c r="AE342" s="34" t="s">
        <v>674</v>
      </c>
      <c r="AF342" s="34">
        <v>0.0</v>
      </c>
      <c r="AG342" s="34" t="s">
        <v>252</v>
      </c>
      <c r="AH342" s="34" t="s">
        <v>971</v>
      </c>
    </row>
    <row r="343">
      <c r="AE343" s="34" t="s">
        <v>674</v>
      </c>
      <c r="AF343" s="34">
        <v>0.0</v>
      </c>
      <c r="AG343" s="34" t="s">
        <v>252</v>
      </c>
      <c r="AH343" s="34" t="s">
        <v>971</v>
      </c>
    </row>
    <row r="344">
      <c r="AE344" s="34" t="s">
        <v>674</v>
      </c>
      <c r="AF344" s="34">
        <v>0.0</v>
      </c>
      <c r="AG344" s="34" t="s">
        <v>252</v>
      </c>
      <c r="AH344" s="34" t="s">
        <v>971</v>
      </c>
    </row>
    <row r="345">
      <c r="AE345" s="34" t="s">
        <v>674</v>
      </c>
      <c r="AF345" s="34">
        <v>0.0</v>
      </c>
      <c r="AG345" s="34" t="s">
        <v>252</v>
      </c>
      <c r="AH345" s="34" t="s">
        <v>971</v>
      </c>
    </row>
    <row r="346">
      <c r="AE346" s="34" t="s">
        <v>674</v>
      </c>
      <c r="AF346" s="34">
        <v>0.0</v>
      </c>
      <c r="AG346" s="34" t="s">
        <v>252</v>
      </c>
      <c r="AH346" s="34" t="s">
        <v>971</v>
      </c>
    </row>
    <row r="347">
      <c r="AE347" s="34" t="s">
        <v>674</v>
      </c>
      <c r="AF347" s="34">
        <v>0.0</v>
      </c>
      <c r="AG347" s="34" t="s">
        <v>252</v>
      </c>
      <c r="AH347" s="34" t="s">
        <v>971</v>
      </c>
    </row>
    <row r="348">
      <c r="AE348" s="34" t="s">
        <v>674</v>
      </c>
      <c r="AF348" s="34">
        <v>0.0</v>
      </c>
      <c r="AG348" s="34" t="s">
        <v>252</v>
      </c>
      <c r="AH348" s="34" t="s">
        <v>971</v>
      </c>
    </row>
    <row r="349">
      <c r="AE349" s="34" t="s">
        <v>674</v>
      </c>
      <c r="AF349" s="34">
        <v>0.0</v>
      </c>
      <c r="AG349" s="34" t="s">
        <v>252</v>
      </c>
      <c r="AH349" s="34" t="s">
        <v>971</v>
      </c>
    </row>
    <row r="350">
      <c r="AE350" s="34" t="s">
        <v>674</v>
      </c>
      <c r="AF350" s="34">
        <v>0.0</v>
      </c>
      <c r="AG350" s="34" t="s">
        <v>252</v>
      </c>
      <c r="AH350" s="34" t="s">
        <v>971</v>
      </c>
    </row>
    <row r="351">
      <c r="AE351" s="34" t="s">
        <v>674</v>
      </c>
      <c r="AF351" s="34">
        <v>0.0</v>
      </c>
      <c r="AG351" s="34" t="s">
        <v>252</v>
      </c>
      <c r="AH351" s="34" t="s">
        <v>971</v>
      </c>
    </row>
    <row r="352">
      <c r="AE352" s="34" t="s">
        <v>674</v>
      </c>
      <c r="AF352" s="34">
        <v>0.0</v>
      </c>
      <c r="AG352" s="34" t="s">
        <v>252</v>
      </c>
      <c r="AH352" s="34" t="s">
        <v>971</v>
      </c>
    </row>
    <row r="353">
      <c r="AE353" s="34" t="s">
        <v>674</v>
      </c>
      <c r="AF353" s="34">
        <v>0.0</v>
      </c>
      <c r="AG353" s="34" t="s">
        <v>252</v>
      </c>
      <c r="AH353" s="34" t="s">
        <v>971</v>
      </c>
    </row>
    <row r="354">
      <c r="AE354" s="34" t="s">
        <v>674</v>
      </c>
      <c r="AF354" s="34">
        <v>0.0</v>
      </c>
      <c r="AG354" s="34" t="s">
        <v>252</v>
      </c>
      <c r="AH354" s="34" t="s">
        <v>971</v>
      </c>
    </row>
    <row r="355">
      <c r="AE355" s="34" t="s">
        <v>674</v>
      </c>
      <c r="AF355" s="34">
        <v>0.0</v>
      </c>
      <c r="AG355" s="34" t="s">
        <v>252</v>
      </c>
      <c r="AH355" s="34" t="s">
        <v>971</v>
      </c>
    </row>
    <row r="356">
      <c r="AE356" s="34" t="s">
        <v>674</v>
      </c>
      <c r="AF356" s="34">
        <v>0.0</v>
      </c>
      <c r="AG356" s="34" t="s">
        <v>252</v>
      </c>
      <c r="AH356" s="34" t="s">
        <v>971</v>
      </c>
    </row>
    <row r="357">
      <c r="AE357" s="34" t="s">
        <v>674</v>
      </c>
      <c r="AF357" s="34">
        <v>0.0</v>
      </c>
      <c r="AG357" s="34" t="s">
        <v>252</v>
      </c>
      <c r="AH357" s="34" t="s">
        <v>971</v>
      </c>
    </row>
    <row r="358">
      <c r="AE358" s="34" t="s">
        <v>674</v>
      </c>
      <c r="AF358" s="34">
        <v>0.0</v>
      </c>
      <c r="AG358" s="34" t="s">
        <v>252</v>
      </c>
      <c r="AH358" s="34" t="s">
        <v>971</v>
      </c>
    </row>
    <row r="359">
      <c r="AE359" s="34" t="s">
        <v>674</v>
      </c>
      <c r="AF359" s="34">
        <v>0.0</v>
      </c>
      <c r="AG359" s="34" t="s">
        <v>252</v>
      </c>
      <c r="AH359" s="34" t="s">
        <v>971</v>
      </c>
    </row>
    <row r="360">
      <c r="AE360" s="34" t="s">
        <v>674</v>
      </c>
      <c r="AF360" s="34">
        <v>0.0</v>
      </c>
      <c r="AG360" s="34" t="s">
        <v>252</v>
      </c>
      <c r="AH360" s="34" t="s">
        <v>971</v>
      </c>
    </row>
    <row r="361">
      <c r="AE361" s="34" t="s">
        <v>674</v>
      </c>
      <c r="AF361" s="34">
        <v>0.0</v>
      </c>
      <c r="AG361" s="34" t="s">
        <v>252</v>
      </c>
      <c r="AH361" s="34" t="s">
        <v>971</v>
      </c>
    </row>
    <row r="362">
      <c r="AE362" s="34" t="s">
        <v>674</v>
      </c>
      <c r="AF362" s="34">
        <v>0.0</v>
      </c>
      <c r="AG362" s="34" t="s">
        <v>252</v>
      </c>
      <c r="AH362" s="34" t="s">
        <v>971</v>
      </c>
    </row>
    <row r="363">
      <c r="AE363" s="34" t="s">
        <v>674</v>
      </c>
      <c r="AF363" s="34">
        <v>0.0</v>
      </c>
      <c r="AG363" s="34" t="s">
        <v>252</v>
      </c>
      <c r="AH363" s="34" t="s">
        <v>971</v>
      </c>
    </row>
    <row r="364">
      <c r="AE364" s="34" t="s">
        <v>674</v>
      </c>
      <c r="AF364" s="34">
        <v>0.0</v>
      </c>
      <c r="AG364" s="34" t="s">
        <v>252</v>
      </c>
      <c r="AH364" s="34" t="s">
        <v>971</v>
      </c>
    </row>
    <row r="365">
      <c r="AE365" s="34" t="s">
        <v>674</v>
      </c>
      <c r="AF365" s="34">
        <v>0.0</v>
      </c>
      <c r="AG365" s="34" t="s">
        <v>252</v>
      </c>
      <c r="AH365" s="34" t="s">
        <v>971</v>
      </c>
    </row>
    <row r="366">
      <c r="AE366" s="34" t="s">
        <v>674</v>
      </c>
      <c r="AF366" s="34">
        <v>0.0</v>
      </c>
      <c r="AG366" s="34" t="s">
        <v>252</v>
      </c>
      <c r="AH366" s="34" t="s">
        <v>971</v>
      </c>
    </row>
    <row r="367">
      <c r="AE367" s="34" t="s">
        <v>674</v>
      </c>
      <c r="AF367" s="34">
        <v>0.0</v>
      </c>
      <c r="AG367" s="34" t="s">
        <v>252</v>
      </c>
      <c r="AH367" s="34" t="s">
        <v>971</v>
      </c>
    </row>
    <row r="368">
      <c r="AE368" s="34" t="s">
        <v>674</v>
      </c>
      <c r="AF368" s="34">
        <v>0.0</v>
      </c>
      <c r="AG368" s="34" t="s">
        <v>252</v>
      </c>
      <c r="AH368" s="34" t="s">
        <v>971</v>
      </c>
    </row>
    <row r="369">
      <c r="AE369" s="34" t="s">
        <v>674</v>
      </c>
      <c r="AF369" s="34">
        <v>0.0</v>
      </c>
      <c r="AG369" s="34" t="s">
        <v>252</v>
      </c>
      <c r="AH369" s="34" t="s">
        <v>971</v>
      </c>
    </row>
    <row r="370">
      <c r="AE370" s="34" t="s">
        <v>674</v>
      </c>
      <c r="AF370" s="34">
        <v>0.0</v>
      </c>
      <c r="AG370" s="34" t="s">
        <v>252</v>
      </c>
      <c r="AH370" s="34" t="s">
        <v>971</v>
      </c>
    </row>
    <row r="371">
      <c r="AE371" s="34" t="s">
        <v>674</v>
      </c>
      <c r="AF371" s="34">
        <v>0.0</v>
      </c>
      <c r="AG371" s="34" t="s">
        <v>252</v>
      </c>
      <c r="AH371" s="34" t="s">
        <v>971</v>
      </c>
    </row>
    <row r="372">
      <c r="AE372" s="34" t="s">
        <v>674</v>
      </c>
      <c r="AF372" s="34">
        <v>0.0</v>
      </c>
      <c r="AG372" s="34" t="s">
        <v>252</v>
      </c>
      <c r="AH372" s="34" t="s">
        <v>971</v>
      </c>
    </row>
    <row r="373">
      <c r="AE373" s="34" t="s">
        <v>674</v>
      </c>
      <c r="AF373" s="34">
        <v>0.0</v>
      </c>
      <c r="AG373" s="34" t="s">
        <v>252</v>
      </c>
      <c r="AH373" s="34" t="s">
        <v>971</v>
      </c>
    </row>
    <row r="374">
      <c r="AE374" s="34" t="s">
        <v>674</v>
      </c>
      <c r="AF374" s="34">
        <v>0.0</v>
      </c>
      <c r="AG374" s="34" t="s">
        <v>252</v>
      </c>
      <c r="AH374" s="34" t="s">
        <v>971</v>
      </c>
    </row>
    <row r="375">
      <c r="AE375" s="34" t="s">
        <v>674</v>
      </c>
      <c r="AF375" s="34">
        <v>0.0</v>
      </c>
      <c r="AG375" s="34" t="s">
        <v>252</v>
      </c>
      <c r="AH375" s="34" t="s">
        <v>971</v>
      </c>
    </row>
    <row r="376">
      <c r="AE376" s="34" t="s">
        <v>674</v>
      </c>
      <c r="AF376" s="34">
        <v>0.0</v>
      </c>
      <c r="AG376" s="34" t="s">
        <v>252</v>
      </c>
      <c r="AH376" s="34" t="s">
        <v>971</v>
      </c>
    </row>
    <row r="377">
      <c r="AE377" s="34" t="s">
        <v>674</v>
      </c>
      <c r="AF377" s="34">
        <v>0.0</v>
      </c>
      <c r="AG377" s="34" t="s">
        <v>252</v>
      </c>
      <c r="AH377" s="34" t="s">
        <v>971</v>
      </c>
    </row>
    <row r="378">
      <c r="AE378" s="34" t="s">
        <v>674</v>
      </c>
      <c r="AF378" s="34">
        <v>0.0</v>
      </c>
      <c r="AG378" s="34" t="s">
        <v>252</v>
      </c>
      <c r="AH378" s="34" t="s">
        <v>971</v>
      </c>
    </row>
    <row r="379">
      <c r="AE379" s="34" t="s">
        <v>674</v>
      </c>
      <c r="AF379" s="34">
        <v>0.0</v>
      </c>
      <c r="AG379" s="34" t="s">
        <v>252</v>
      </c>
      <c r="AH379" s="34" t="s">
        <v>971</v>
      </c>
    </row>
    <row r="380">
      <c r="AE380" s="34" t="s">
        <v>674</v>
      </c>
      <c r="AF380" s="34">
        <v>0.0</v>
      </c>
      <c r="AG380" s="34" t="s">
        <v>252</v>
      </c>
      <c r="AH380" s="34" t="s">
        <v>971</v>
      </c>
    </row>
    <row r="381">
      <c r="AE381" s="34" t="s">
        <v>674</v>
      </c>
      <c r="AF381" s="34">
        <v>0.0</v>
      </c>
      <c r="AG381" s="34" t="s">
        <v>252</v>
      </c>
      <c r="AH381" s="34" t="s">
        <v>971</v>
      </c>
    </row>
    <row r="382">
      <c r="AE382" s="34" t="s">
        <v>674</v>
      </c>
      <c r="AF382" s="34">
        <v>0.0</v>
      </c>
      <c r="AG382" s="34" t="s">
        <v>252</v>
      </c>
      <c r="AH382" s="34" t="s">
        <v>971</v>
      </c>
    </row>
    <row r="383">
      <c r="AE383" s="34" t="s">
        <v>674</v>
      </c>
      <c r="AF383" s="34">
        <v>0.0</v>
      </c>
      <c r="AG383" s="34" t="s">
        <v>252</v>
      </c>
      <c r="AH383" s="34" t="s">
        <v>971</v>
      </c>
    </row>
    <row r="384">
      <c r="AE384" s="34" t="s">
        <v>674</v>
      </c>
      <c r="AF384" s="34">
        <v>0.0</v>
      </c>
      <c r="AG384" s="34" t="s">
        <v>252</v>
      </c>
      <c r="AH384" s="34" t="s">
        <v>971</v>
      </c>
    </row>
    <row r="385">
      <c r="AE385" s="34" t="s">
        <v>674</v>
      </c>
      <c r="AF385" s="34">
        <v>0.0</v>
      </c>
      <c r="AG385" s="34" t="s">
        <v>252</v>
      </c>
      <c r="AH385" s="34" t="s">
        <v>971</v>
      </c>
    </row>
    <row r="386">
      <c r="AE386" s="34" t="s">
        <v>674</v>
      </c>
      <c r="AF386" s="34">
        <v>0.0</v>
      </c>
      <c r="AG386" s="34" t="s">
        <v>252</v>
      </c>
      <c r="AH386" s="34" t="s">
        <v>971</v>
      </c>
    </row>
    <row r="387">
      <c r="AE387" s="34" t="s">
        <v>674</v>
      </c>
      <c r="AF387" s="34">
        <v>0.0</v>
      </c>
      <c r="AG387" s="34" t="s">
        <v>252</v>
      </c>
      <c r="AH387" s="34" t="s">
        <v>971</v>
      </c>
    </row>
    <row r="388">
      <c r="AE388" s="34" t="s">
        <v>674</v>
      </c>
      <c r="AF388" s="34">
        <v>0.0</v>
      </c>
      <c r="AG388" s="34" t="s">
        <v>252</v>
      </c>
      <c r="AH388" s="34" t="s">
        <v>971</v>
      </c>
    </row>
    <row r="389">
      <c r="AE389" s="34" t="s">
        <v>674</v>
      </c>
      <c r="AF389" s="34">
        <v>0.0</v>
      </c>
      <c r="AG389" s="34" t="s">
        <v>252</v>
      </c>
      <c r="AH389" s="34" t="s">
        <v>971</v>
      </c>
    </row>
    <row r="390">
      <c r="AE390" s="34" t="s">
        <v>674</v>
      </c>
      <c r="AF390" s="34">
        <v>0.0</v>
      </c>
      <c r="AG390" s="34" t="s">
        <v>252</v>
      </c>
      <c r="AH390" s="34" t="s">
        <v>971</v>
      </c>
    </row>
    <row r="391">
      <c r="AE391" s="34" t="s">
        <v>674</v>
      </c>
      <c r="AF391" s="34">
        <v>0.0</v>
      </c>
      <c r="AG391" s="34" t="s">
        <v>252</v>
      </c>
      <c r="AH391" s="34" t="s">
        <v>971</v>
      </c>
    </row>
    <row r="392">
      <c r="AE392" s="34" t="s">
        <v>674</v>
      </c>
      <c r="AF392" s="34">
        <v>0.0</v>
      </c>
      <c r="AG392" s="34" t="s">
        <v>252</v>
      </c>
      <c r="AH392" s="34" t="s">
        <v>971</v>
      </c>
    </row>
    <row r="393">
      <c r="AE393" s="34" t="s">
        <v>674</v>
      </c>
      <c r="AF393" s="34">
        <v>0.0</v>
      </c>
      <c r="AG393" s="34" t="s">
        <v>252</v>
      </c>
      <c r="AH393" s="34" t="s">
        <v>971</v>
      </c>
    </row>
    <row r="394">
      <c r="AE394" s="34" t="s">
        <v>674</v>
      </c>
      <c r="AF394" s="34">
        <v>0.0</v>
      </c>
      <c r="AG394" s="34" t="s">
        <v>252</v>
      </c>
      <c r="AH394" s="34" t="s">
        <v>971</v>
      </c>
    </row>
    <row r="395">
      <c r="AE395" s="34" t="s">
        <v>674</v>
      </c>
      <c r="AF395" s="34">
        <v>0.0</v>
      </c>
      <c r="AG395" s="34" t="s">
        <v>252</v>
      </c>
      <c r="AH395" s="34" t="s">
        <v>971</v>
      </c>
    </row>
    <row r="396">
      <c r="AE396" s="34" t="s">
        <v>674</v>
      </c>
      <c r="AF396" s="34">
        <v>0.0</v>
      </c>
      <c r="AG396" s="34" t="s">
        <v>252</v>
      </c>
      <c r="AH396" s="34" t="s">
        <v>971</v>
      </c>
    </row>
    <row r="397">
      <c r="AE397" s="34" t="s">
        <v>674</v>
      </c>
      <c r="AF397" s="34">
        <v>0.0</v>
      </c>
      <c r="AG397" s="34" t="s">
        <v>252</v>
      </c>
      <c r="AH397" s="34" t="s">
        <v>971</v>
      </c>
    </row>
    <row r="398">
      <c r="AE398" s="34" t="s">
        <v>674</v>
      </c>
      <c r="AF398" s="34">
        <v>0.0</v>
      </c>
      <c r="AG398" s="34" t="s">
        <v>252</v>
      </c>
      <c r="AH398" s="34" t="s">
        <v>971</v>
      </c>
    </row>
    <row r="399">
      <c r="AE399" s="34" t="s">
        <v>674</v>
      </c>
      <c r="AF399" s="34">
        <v>0.0</v>
      </c>
      <c r="AG399" s="34" t="s">
        <v>252</v>
      </c>
      <c r="AH399" s="34" t="s">
        <v>971</v>
      </c>
    </row>
    <row r="400">
      <c r="AE400" s="34" t="s">
        <v>674</v>
      </c>
      <c r="AF400" s="34">
        <v>0.0</v>
      </c>
      <c r="AG400" s="34" t="s">
        <v>252</v>
      </c>
      <c r="AH400" s="34" t="s">
        <v>971</v>
      </c>
    </row>
    <row r="401">
      <c r="AE401" s="34" t="s">
        <v>674</v>
      </c>
      <c r="AF401" s="34">
        <v>0.0</v>
      </c>
      <c r="AG401" s="34" t="s">
        <v>252</v>
      </c>
      <c r="AH401" s="34" t="s">
        <v>971</v>
      </c>
    </row>
    <row r="402">
      <c r="AE402" s="34" t="s">
        <v>674</v>
      </c>
      <c r="AF402" s="34">
        <v>0.0</v>
      </c>
      <c r="AG402" s="34" t="s">
        <v>252</v>
      </c>
      <c r="AH402" s="34" t="s">
        <v>971</v>
      </c>
    </row>
    <row r="403">
      <c r="AE403" s="34" t="s">
        <v>674</v>
      </c>
      <c r="AF403" s="34">
        <v>0.0</v>
      </c>
      <c r="AG403" s="34" t="s">
        <v>252</v>
      </c>
      <c r="AH403" s="34" t="s">
        <v>971</v>
      </c>
    </row>
    <row r="404">
      <c r="AE404" s="34" t="s">
        <v>674</v>
      </c>
      <c r="AF404" s="34">
        <v>0.0</v>
      </c>
      <c r="AG404" s="34" t="s">
        <v>252</v>
      </c>
      <c r="AH404" s="34" t="s">
        <v>971</v>
      </c>
    </row>
    <row r="405">
      <c r="AE405" s="34" t="s">
        <v>674</v>
      </c>
      <c r="AF405" s="34">
        <v>0.0</v>
      </c>
      <c r="AG405" s="34" t="s">
        <v>252</v>
      </c>
      <c r="AH405" s="34" t="s">
        <v>971</v>
      </c>
    </row>
    <row r="406">
      <c r="AE406" s="34" t="s">
        <v>674</v>
      </c>
      <c r="AF406" s="34">
        <v>0.0</v>
      </c>
      <c r="AG406" s="34" t="s">
        <v>252</v>
      </c>
      <c r="AH406" s="34" t="s">
        <v>971</v>
      </c>
    </row>
    <row r="407">
      <c r="AE407" s="34" t="s">
        <v>674</v>
      </c>
      <c r="AF407" s="34">
        <v>0.0</v>
      </c>
      <c r="AG407" s="34" t="s">
        <v>252</v>
      </c>
      <c r="AH407" s="34" t="s">
        <v>971</v>
      </c>
    </row>
    <row r="408">
      <c r="AE408" s="34" t="s">
        <v>674</v>
      </c>
      <c r="AF408" s="34">
        <v>0.0</v>
      </c>
      <c r="AG408" s="34" t="s">
        <v>252</v>
      </c>
      <c r="AH408" s="34" t="s">
        <v>971</v>
      </c>
    </row>
    <row r="409">
      <c r="AE409" s="34" t="s">
        <v>674</v>
      </c>
      <c r="AF409" s="34">
        <v>0.0</v>
      </c>
      <c r="AG409" s="34" t="s">
        <v>252</v>
      </c>
      <c r="AH409" s="34" t="s">
        <v>971</v>
      </c>
    </row>
    <row r="410">
      <c r="AE410" s="34" t="s">
        <v>674</v>
      </c>
      <c r="AF410" s="34">
        <v>0.0</v>
      </c>
      <c r="AG410" s="34" t="s">
        <v>252</v>
      </c>
      <c r="AH410" s="34" t="s">
        <v>971</v>
      </c>
    </row>
    <row r="411">
      <c r="AE411" s="34" t="s">
        <v>674</v>
      </c>
      <c r="AF411" s="34">
        <v>0.0</v>
      </c>
      <c r="AG411" s="34" t="s">
        <v>252</v>
      </c>
      <c r="AH411" s="34" t="s">
        <v>971</v>
      </c>
    </row>
    <row r="412">
      <c r="AE412" s="34" t="s">
        <v>674</v>
      </c>
      <c r="AF412" s="34">
        <v>0.0</v>
      </c>
      <c r="AG412" s="34" t="s">
        <v>252</v>
      </c>
      <c r="AH412" s="34" t="s">
        <v>971</v>
      </c>
    </row>
    <row r="413">
      <c r="AE413" s="34" t="s">
        <v>674</v>
      </c>
      <c r="AF413" s="34">
        <v>0.0</v>
      </c>
      <c r="AG413" s="34" t="s">
        <v>252</v>
      </c>
      <c r="AH413" s="34" t="s">
        <v>971</v>
      </c>
    </row>
    <row r="414">
      <c r="AE414" s="34" t="s">
        <v>674</v>
      </c>
      <c r="AF414" s="34">
        <v>0.0</v>
      </c>
      <c r="AG414" s="34" t="s">
        <v>252</v>
      </c>
      <c r="AH414" s="34" t="s">
        <v>971</v>
      </c>
    </row>
    <row r="415">
      <c r="AE415" s="34" t="s">
        <v>674</v>
      </c>
      <c r="AF415" s="34">
        <v>0.0</v>
      </c>
      <c r="AG415" s="34" t="s">
        <v>252</v>
      </c>
      <c r="AH415" s="34" t="s">
        <v>971</v>
      </c>
    </row>
    <row r="416">
      <c r="AE416" s="34" t="s">
        <v>674</v>
      </c>
      <c r="AF416" s="34">
        <v>0.0</v>
      </c>
      <c r="AG416" s="34" t="s">
        <v>252</v>
      </c>
      <c r="AH416" s="34" t="s">
        <v>971</v>
      </c>
    </row>
    <row r="417">
      <c r="AE417" s="34" t="s">
        <v>674</v>
      </c>
      <c r="AF417" s="34">
        <v>0.0</v>
      </c>
      <c r="AG417" s="34" t="s">
        <v>252</v>
      </c>
      <c r="AH417" s="34" t="s">
        <v>971</v>
      </c>
    </row>
    <row r="418">
      <c r="AE418" s="34" t="s">
        <v>674</v>
      </c>
      <c r="AF418" s="34">
        <v>0.0</v>
      </c>
      <c r="AG418" s="34" t="s">
        <v>252</v>
      </c>
      <c r="AH418" s="34" t="s">
        <v>971</v>
      </c>
    </row>
    <row r="419">
      <c r="AE419" s="34" t="s">
        <v>674</v>
      </c>
      <c r="AF419" s="34">
        <v>0.0</v>
      </c>
      <c r="AG419" s="34" t="s">
        <v>252</v>
      </c>
      <c r="AH419" s="34" t="s">
        <v>971</v>
      </c>
    </row>
    <row r="420">
      <c r="AE420" s="34" t="s">
        <v>674</v>
      </c>
      <c r="AF420" s="34">
        <v>0.0</v>
      </c>
      <c r="AG420" s="34" t="s">
        <v>252</v>
      </c>
      <c r="AH420" s="34" t="s">
        <v>971</v>
      </c>
    </row>
    <row r="421">
      <c r="AE421" s="34" t="s">
        <v>674</v>
      </c>
      <c r="AF421" s="34">
        <v>0.0</v>
      </c>
      <c r="AG421" s="34" t="s">
        <v>252</v>
      </c>
      <c r="AH421" s="34" t="s">
        <v>971</v>
      </c>
    </row>
    <row r="422">
      <c r="AE422" s="34" t="s">
        <v>674</v>
      </c>
      <c r="AF422" s="34">
        <v>0.0</v>
      </c>
      <c r="AG422" s="34" t="s">
        <v>252</v>
      </c>
      <c r="AH422" s="34" t="s">
        <v>971</v>
      </c>
    </row>
    <row r="423">
      <c r="AE423" s="34" t="s">
        <v>674</v>
      </c>
      <c r="AF423" s="34">
        <v>0.0</v>
      </c>
      <c r="AG423" s="34" t="s">
        <v>252</v>
      </c>
      <c r="AH423" s="34" t="s">
        <v>971</v>
      </c>
    </row>
    <row r="424">
      <c r="AE424" s="34" t="s">
        <v>674</v>
      </c>
      <c r="AF424" s="34">
        <v>0.0</v>
      </c>
      <c r="AG424" s="34" t="s">
        <v>252</v>
      </c>
      <c r="AH424" s="34" t="s">
        <v>971</v>
      </c>
    </row>
    <row r="425">
      <c r="AE425" s="34" t="s">
        <v>674</v>
      </c>
      <c r="AF425" s="34">
        <v>0.0</v>
      </c>
      <c r="AG425" s="34" t="s">
        <v>252</v>
      </c>
      <c r="AH425" s="34" t="s">
        <v>971</v>
      </c>
    </row>
    <row r="426">
      <c r="AE426" s="34" t="s">
        <v>674</v>
      </c>
      <c r="AF426" s="34">
        <v>0.0</v>
      </c>
      <c r="AG426" s="34" t="s">
        <v>252</v>
      </c>
      <c r="AH426" s="34" t="s">
        <v>971</v>
      </c>
    </row>
    <row r="427">
      <c r="AE427" s="34" t="s">
        <v>674</v>
      </c>
      <c r="AF427" s="34">
        <v>0.0</v>
      </c>
      <c r="AG427" s="34" t="s">
        <v>252</v>
      </c>
      <c r="AH427" s="34" t="s">
        <v>971</v>
      </c>
    </row>
    <row r="428">
      <c r="AE428" s="34" t="s">
        <v>674</v>
      </c>
      <c r="AF428" s="34">
        <v>0.0</v>
      </c>
      <c r="AG428" s="34" t="s">
        <v>252</v>
      </c>
      <c r="AH428" s="34" t="s">
        <v>971</v>
      </c>
    </row>
    <row r="429">
      <c r="AE429" s="34" t="s">
        <v>674</v>
      </c>
      <c r="AF429" s="34">
        <v>0.0</v>
      </c>
      <c r="AG429" s="34" t="s">
        <v>252</v>
      </c>
      <c r="AH429" s="34" t="s">
        <v>971</v>
      </c>
    </row>
    <row r="430">
      <c r="AE430" s="34" t="s">
        <v>674</v>
      </c>
      <c r="AF430" s="34">
        <v>0.0</v>
      </c>
      <c r="AG430" s="34" t="s">
        <v>252</v>
      </c>
      <c r="AH430" s="34" t="s">
        <v>971</v>
      </c>
    </row>
    <row r="431">
      <c r="AE431" s="34" t="s">
        <v>674</v>
      </c>
      <c r="AF431" s="34">
        <v>0.0</v>
      </c>
      <c r="AG431" s="34" t="s">
        <v>252</v>
      </c>
      <c r="AH431" s="34" t="s">
        <v>971</v>
      </c>
    </row>
    <row r="432">
      <c r="AE432" s="34" t="s">
        <v>674</v>
      </c>
      <c r="AF432" s="34">
        <v>0.0</v>
      </c>
      <c r="AG432" s="34" t="s">
        <v>252</v>
      </c>
      <c r="AH432" s="34" t="s">
        <v>971</v>
      </c>
    </row>
    <row r="433">
      <c r="AE433" s="34" t="s">
        <v>674</v>
      </c>
      <c r="AF433" s="34">
        <v>0.0</v>
      </c>
      <c r="AG433" s="34" t="s">
        <v>252</v>
      </c>
      <c r="AH433" s="34" t="s">
        <v>971</v>
      </c>
    </row>
    <row r="434">
      <c r="AE434" s="34" t="s">
        <v>674</v>
      </c>
      <c r="AF434" s="34">
        <v>0.0</v>
      </c>
      <c r="AG434" s="34" t="s">
        <v>252</v>
      </c>
      <c r="AH434" s="34" t="s">
        <v>971</v>
      </c>
    </row>
    <row r="435">
      <c r="AE435" s="34" t="s">
        <v>674</v>
      </c>
      <c r="AF435" s="34">
        <v>0.0</v>
      </c>
      <c r="AG435" s="34" t="s">
        <v>252</v>
      </c>
      <c r="AH435" s="34" t="s">
        <v>971</v>
      </c>
    </row>
    <row r="436">
      <c r="AE436" s="34" t="s">
        <v>674</v>
      </c>
      <c r="AF436" s="34">
        <v>0.0</v>
      </c>
      <c r="AG436" s="34" t="s">
        <v>252</v>
      </c>
      <c r="AH436" s="34" t="s">
        <v>971</v>
      </c>
    </row>
    <row r="437">
      <c r="AE437" s="34" t="s">
        <v>674</v>
      </c>
      <c r="AF437" s="34">
        <v>0.0</v>
      </c>
      <c r="AG437" s="34" t="s">
        <v>252</v>
      </c>
      <c r="AH437" s="34" t="s">
        <v>971</v>
      </c>
    </row>
    <row r="438">
      <c r="AE438" s="34" t="s">
        <v>674</v>
      </c>
      <c r="AF438" s="34">
        <v>0.0</v>
      </c>
      <c r="AG438" s="34" t="s">
        <v>252</v>
      </c>
      <c r="AH438" s="34" t="s">
        <v>971</v>
      </c>
    </row>
    <row r="439">
      <c r="AE439" s="34" t="s">
        <v>674</v>
      </c>
      <c r="AF439" s="34">
        <v>0.0</v>
      </c>
      <c r="AG439" s="34" t="s">
        <v>252</v>
      </c>
      <c r="AH439" s="34" t="s">
        <v>971</v>
      </c>
    </row>
    <row r="440">
      <c r="AE440" s="34" t="s">
        <v>674</v>
      </c>
      <c r="AF440" s="34">
        <v>0.0</v>
      </c>
      <c r="AG440" s="34" t="s">
        <v>252</v>
      </c>
      <c r="AH440" s="34" t="s">
        <v>971</v>
      </c>
    </row>
    <row r="441">
      <c r="AE441" s="34" t="s">
        <v>674</v>
      </c>
      <c r="AF441" s="34">
        <v>0.0</v>
      </c>
      <c r="AG441" s="34" t="s">
        <v>252</v>
      </c>
      <c r="AH441" s="34" t="s">
        <v>971</v>
      </c>
    </row>
    <row r="442">
      <c r="AE442" s="34" t="s">
        <v>674</v>
      </c>
      <c r="AF442" s="34">
        <v>0.0</v>
      </c>
      <c r="AG442" s="34" t="s">
        <v>252</v>
      </c>
      <c r="AH442" s="34" t="s">
        <v>971</v>
      </c>
    </row>
    <row r="443">
      <c r="AE443" s="34" t="s">
        <v>674</v>
      </c>
      <c r="AF443" s="34">
        <v>0.0</v>
      </c>
      <c r="AG443" s="34" t="s">
        <v>252</v>
      </c>
      <c r="AH443" s="34" t="s">
        <v>971</v>
      </c>
    </row>
    <row r="444">
      <c r="AE444" s="34" t="s">
        <v>674</v>
      </c>
      <c r="AF444" s="34">
        <v>0.0</v>
      </c>
      <c r="AG444" s="34" t="s">
        <v>252</v>
      </c>
      <c r="AH444" s="34" t="s">
        <v>971</v>
      </c>
    </row>
    <row r="445">
      <c r="AE445" s="34" t="s">
        <v>674</v>
      </c>
      <c r="AF445" s="34">
        <v>0.0</v>
      </c>
      <c r="AG445" s="34" t="s">
        <v>252</v>
      </c>
      <c r="AH445" s="34" t="s">
        <v>971</v>
      </c>
    </row>
    <row r="446">
      <c r="AE446" s="34" t="s">
        <v>674</v>
      </c>
      <c r="AF446" s="34">
        <v>0.0</v>
      </c>
      <c r="AG446" s="34" t="s">
        <v>252</v>
      </c>
      <c r="AH446" s="34" t="s">
        <v>971</v>
      </c>
    </row>
    <row r="447">
      <c r="AE447" s="34" t="s">
        <v>674</v>
      </c>
      <c r="AF447" s="34">
        <v>0.0</v>
      </c>
      <c r="AG447" s="34" t="s">
        <v>252</v>
      </c>
      <c r="AH447" s="34" t="s">
        <v>971</v>
      </c>
    </row>
    <row r="448">
      <c r="AE448" s="34" t="s">
        <v>674</v>
      </c>
      <c r="AF448" s="34">
        <v>0.0</v>
      </c>
      <c r="AG448" s="34" t="s">
        <v>252</v>
      </c>
      <c r="AH448" s="34" t="s">
        <v>971</v>
      </c>
    </row>
    <row r="449">
      <c r="AE449" s="34" t="s">
        <v>674</v>
      </c>
      <c r="AF449" s="34">
        <v>0.0</v>
      </c>
      <c r="AG449" s="34" t="s">
        <v>252</v>
      </c>
      <c r="AH449" s="34" t="s">
        <v>971</v>
      </c>
    </row>
    <row r="450">
      <c r="AE450" s="34" t="s">
        <v>674</v>
      </c>
      <c r="AF450" s="34">
        <v>0.0</v>
      </c>
      <c r="AG450" s="34" t="s">
        <v>252</v>
      </c>
      <c r="AH450" s="34" t="s">
        <v>971</v>
      </c>
    </row>
    <row r="451">
      <c r="AE451" s="34" t="s">
        <v>674</v>
      </c>
      <c r="AF451" s="34">
        <v>0.0</v>
      </c>
      <c r="AG451" s="34" t="s">
        <v>252</v>
      </c>
      <c r="AH451" s="34" t="s">
        <v>971</v>
      </c>
    </row>
    <row r="452">
      <c r="AE452" s="34" t="s">
        <v>674</v>
      </c>
      <c r="AF452" s="34">
        <v>0.0</v>
      </c>
      <c r="AG452" s="34" t="s">
        <v>252</v>
      </c>
      <c r="AH452" s="34" t="s">
        <v>971</v>
      </c>
    </row>
    <row r="453">
      <c r="AE453" s="34" t="s">
        <v>674</v>
      </c>
      <c r="AF453" s="34">
        <v>0.0</v>
      </c>
      <c r="AG453" s="34" t="s">
        <v>252</v>
      </c>
      <c r="AH453" s="34" t="s">
        <v>971</v>
      </c>
    </row>
    <row r="454">
      <c r="AE454" s="34" t="s">
        <v>674</v>
      </c>
      <c r="AF454" s="34">
        <v>0.0</v>
      </c>
      <c r="AG454" s="34" t="s">
        <v>252</v>
      </c>
      <c r="AH454" s="34" t="s">
        <v>971</v>
      </c>
    </row>
    <row r="455">
      <c r="AE455" s="34" t="s">
        <v>674</v>
      </c>
      <c r="AF455" s="34">
        <v>0.0</v>
      </c>
      <c r="AG455" s="34" t="s">
        <v>252</v>
      </c>
      <c r="AH455" s="34" t="s">
        <v>971</v>
      </c>
    </row>
    <row r="456">
      <c r="AE456" s="34" t="s">
        <v>674</v>
      </c>
      <c r="AF456" s="34">
        <v>0.0</v>
      </c>
      <c r="AG456" s="34" t="s">
        <v>252</v>
      </c>
      <c r="AH456" s="34" t="s">
        <v>971</v>
      </c>
    </row>
    <row r="457">
      <c r="AE457" s="34" t="s">
        <v>674</v>
      </c>
      <c r="AF457" s="34">
        <v>0.0</v>
      </c>
      <c r="AG457" s="34" t="s">
        <v>252</v>
      </c>
      <c r="AH457" s="34" t="s">
        <v>971</v>
      </c>
    </row>
    <row r="458">
      <c r="AE458" s="34" t="s">
        <v>674</v>
      </c>
      <c r="AF458" s="34">
        <v>0.0</v>
      </c>
      <c r="AG458" s="34" t="s">
        <v>252</v>
      </c>
      <c r="AH458" s="34" t="s">
        <v>971</v>
      </c>
    </row>
    <row r="459">
      <c r="AE459" s="34" t="s">
        <v>674</v>
      </c>
      <c r="AF459" s="34">
        <v>0.0</v>
      </c>
      <c r="AG459" s="34" t="s">
        <v>252</v>
      </c>
      <c r="AH459" s="34" t="s">
        <v>971</v>
      </c>
    </row>
    <row r="460">
      <c r="AE460" s="34" t="s">
        <v>674</v>
      </c>
      <c r="AF460" s="34">
        <v>0.0</v>
      </c>
      <c r="AG460" s="34" t="s">
        <v>252</v>
      </c>
      <c r="AH460" s="34" t="s">
        <v>971</v>
      </c>
    </row>
    <row r="461">
      <c r="AE461" s="34" t="s">
        <v>674</v>
      </c>
      <c r="AF461" s="34">
        <v>0.0</v>
      </c>
      <c r="AG461" s="34" t="s">
        <v>252</v>
      </c>
      <c r="AH461" s="34" t="s">
        <v>971</v>
      </c>
    </row>
    <row r="462">
      <c r="AE462" s="34" t="s">
        <v>674</v>
      </c>
      <c r="AF462" s="34">
        <v>0.0</v>
      </c>
      <c r="AG462" s="34" t="s">
        <v>252</v>
      </c>
      <c r="AH462" s="34" t="s">
        <v>971</v>
      </c>
    </row>
    <row r="463">
      <c r="AE463" s="34" t="s">
        <v>674</v>
      </c>
      <c r="AF463" s="34">
        <v>0.0</v>
      </c>
      <c r="AG463" s="34" t="s">
        <v>252</v>
      </c>
      <c r="AH463" s="34" t="s">
        <v>971</v>
      </c>
    </row>
    <row r="464">
      <c r="AE464" s="34" t="s">
        <v>674</v>
      </c>
      <c r="AF464" s="34">
        <v>0.0</v>
      </c>
      <c r="AG464" s="34" t="s">
        <v>252</v>
      </c>
      <c r="AH464" s="34" t="s">
        <v>971</v>
      </c>
    </row>
    <row r="465">
      <c r="AE465" s="34" t="s">
        <v>674</v>
      </c>
      <c r="AF465" s="34">
        <v>0.0</v>
      </c>
      <c r="AG465" s="34" t="s">
        <v>252</v>
      </c>
      <c r="AH465" s="34" t="s">
        <v>971</v>
      </c>
    </row>
    <row r="466">
      <c r="AE466" s="34" t="s">
        <v>674</v>
      </c>
      <c r="AF466" s="34">
        <v>0.0</v>
      </c>
      <c r="AG466" s="34" t="s">
        <v>252</v>
      </c>
      <c r="AH466" s="34" t="s">
        <v>971</v>
      </c>
    </row>
    <row r="467">
      <c r="AE467" s="34" t="s">
        <v>674</v>
      </c>
      <c r="AF467" s="34">
        <v>0.0</v>
      </c>
      <c r="AG467" s="34" t="s">
        <v>252</v>
      </c>
      <c r="AH467" s="34" t="s">
        <v>971</v>
      </c>
    </row>
    <row r="468">
      <c r="AE468" s="34" t="s">
        <v>674</v>
      </c>
      <c r="AF468" s="34">
        <v>0.0</v>
      </c>
      <c r="AG468" s="34" t="s">
        <v>252</v>
      </c>
      <c r="AH468" s="34" t="s">
        <v>971</v>
      </c>
    </row>
    <row r="469">
      <c r="AE469" s="34" t="s">
        <v>674</v>
      </c>
      <c r="AF469" s="34">
        <v>0.0</v>
      </c>
      <c r="AG469" s="34" t="s">
        <v>252</v>
      </c>
      <c r="AH469" s="34" t="s">
        <v>971</v>
      </c>
    </row>
    <row r="470">
      <c r="AE470" s="34" t="s">
        <v>674</v>
      </c>
      <c r="AF470" s="34">
        <v>0.0</v>
      </c>
      <c r="AG470" s="34" t="s">
        <v>252</v>
      </c>
      <c r="AH470" s="34" t="s">
        <v>971</v>
      </c>
    </row>
    <row r="471">
      <c r="AE471" s="34" t="s">
        <v>674</v>
      </c>
      <c r="AF471" s="34">
        <v>0.0</v>
      </c>
      <c r="AG471" s="34" t="s">
        <v>252</v>
      </c>
      <c r="AH471" s="34" t="s">
        <v>971</v>
      </c>
    </row>
    <row r="472">
      <c r="AE472" s="34" t="s">
        <v>674</v>
      </c>
      <c r="AF472" s="34">
        <v>0.0</v>
      </c>
      <c r="AG472" s="34" t="s">
        <v>252</v>
      </c>
      <c r="AH472" s="34" t="s">
        <v>971</v>
      </c>
    </row>
    <row r="473">
      <c r="AE473" s="34" t="s">
        <v>674</v>
      </c>
      <c r="AF473" s="34">
        <v>0.0</v>
      </c>
      <c r="AG473" s="34" t="s">
        <v>252</v>
      </c>
      <c r="AH473" s="34" t="s">
        <v>971</v>
      </c>
    </row>
    <row r="474">
      <c r="AE474" s="34" t="s">
        <v>674</v>
      </c>
      <c r="AF474" s="34">
        <v>0.0</v>
      </c>
      <c r="AG474" s="34" t="s">
        <v>252</v>
      </c>
      <c r="AH474" s="34" t="s">
        <v>971</v>
      </c>
    </row>
    <row r="475">
      <c r="AE475" s="34" t="s">
        <v>674</v>
      </c>
      <c r="AF475" s="34">
        <v>0.0</v>
      </c>
      <c r="AG475" s="34" t="s">
        <v>252</v>
      </c>
      <c r="AH475" s="34" t="s">
        <v>971</v>
      </c>
    </row>
    <row r="476">
      <c r="AE476" s="34" t="s">
        <v>674</v>
      </c>
      <c r="AF476" s="34">
        <v>0.0</v>
      </c>
      <c r="AG476" s="34" t="s">
        <v>252</v>
      </c>
      <c r="AH476" s="34" t="s">
        <v>971</v>
      </c>
    </row>
    <row r="477">
      <c r="AE477" s="34" t="s">
        <v>674</v>
      </c>
      <c r="AF477" s="34">
        <v>0.0</v>
      </c>
      <c r="AG477" s="34" t="s">
        <v>252</v>
      </c>
      <c r="AH477" s="34" t="s">
        <v>971</v>
      </c>
    </row>
    <row r="478">
      <c r="AE478" s="34" t="s">
        <v>674</v>
      </c>
      <c r="AF478" s="34">
        <v>0.0</v>
      </c>
      <c r="AG478" s="34" t="s">
        <v>252</v>
      </c>
      <c r="AH478" s="34" t="s">
        <v>971</v>
      </c>
    </row>
    <row r="479">
      <c r="AE479" s="34" t="s">
        <v>674</v>
      </c>
      <c r="AF479" s="34">
        <v>0.0</v>
      </c>
      <c r="AG479" s="34" t="s">
        <v>252</v>
      </c>
      <c r="AH479" s="34" t="s">
        <v>971</v>
      </c>
    </row>
    <row r="480">
      <c r="AE480" s="34" t="s">
        <v>674</v>
      </c>
      <c r="AF480" s="34">
        <v>0.0</v>
      </c>
      <c r="AG480" s="34" t="s">
        <v>252</v>
      </c>
      <c r="AH480" s="34" t="s">
        <v>971</v>
      </c>
    </row>
    <row r="481">
      <c r="AE481" s="34" t="s">
        <v>674</v>
      </c>
      <c r="AF481" s="34">
        <v>0.0</v>
      </c>
      <c r="AG481" s="34" t="s">
        <v>252</v>
      </c>
      <c r="AH481" s="34" t="s">
        <v>971</v>
      </c>
    </row>
    <row r="482">
      <c r="AE482" s="34" t="s">
        <v>674</v>
      </c>
      <c r="AF482" s="34">
        <v>0.0</v>
      </c>
      <c r="AG482" s="34" t="s">
        <v>252</v>
      </c>
      <c r="AH482" s="34" t="s">
        <v>971</v>
      </c>
    </row>
    <row r="483">
      <c r="AE483" s="34" t="s">
        <v>674</v>
      </c>
      <c r="AF483" s="34">
        <v>0.0</v>
      </c>
      <c r="AG483" s="34" t="s">
        <v>252</v>
      </c>
      <c r="AH483" s="34" t="s">
        <v>971</v>
      </c>
    </row>
    <row r="484">
      <c r="AE484" s="34" t="s">
        <v>674</v>
      </c>
      <c r="AF484" s="34">
        <v>0.0</v>
      </c>
      <c r="AG484" s="34" t="s">
        <v>252</v>
      </c>
      <c r="AH484" s="34" t="s">
        <v>971</v>
      </c>
    </row>
    <row r="485">
      <c r="AE485" s="34" t="s">
        <v>674</v>
      </c>
      <c r="AF485" s="34">
        <v>0.0</v>
      </c>
      <c r="AG485" s="34" t="s">
        <v>252</v>
      </c>
      <c r="AH485" s="34" t="s">
        <v>971</v>
      </c>
    </row>
    <row r="486">
      <c r="AE486" s="34" t="s">
        <v>674</v>
      </c>
      <c r="AF486" s="34">
        <v>0.0</v>
      </c>
      <c r="AG486" s="34" t="s">
        <v>252</v>
      </c>
      <c r="AH486" s="34" t="s">
        <v>971</v>
      </c>
    </row>
    <row r="487">
      <c r="AE487" s="34" t="s">
        <v>674</v>
      </c>
      <c r="AF487" s="34">
        <v>0.0</v>
      </c>
      <c r="AG487" s="34" t="s">
        <v>252</v>
      </c>
      <c r="AH487" s="34" t="s">
        <v>971</v>
      </c>
    </row>
    <row r="488">
      <c r="AE488" s="34" t="s">
        <v>674</v>
      </c>
      <c r="AF488" s="34">
        <v>0.0</v>
      </c>
      <c r="AG488" s="34" t="s">
        <v>252</v>
      </c>
      <c r="AH488" s="34" t="s">
        <v>971</v>
      </c>
    </row>
    <row r="489">
      <c r="AE489" s="34" t="s">
        <v>674</v>
      </c>
      <c r="AF489" s="34">
        <v>0.0</v>
      </c>
      <c r="AG489" s="34" t="s">
        <v>252</v>
      </c>
      <c r="AH489" s="34" t="s">
        <v>971</v>
      </c>
    </row>
    <row r="490">
      <c r="AE490" s="34" t="s">
        <v>674</v>
      </c>
      <c r="AF490" s="34">
        <v>0.0</v>
      </c>
      <c r="AG490" s="34" t="s">
        <v>252</v>
      </c>
      <c r="AH490" s="34" t="s">
        <v>971</v>
      </c>
    </row>
    <row r="491">
      <c r="AE491" s="34" t="s">
        <v>674</v>
      </c>
      <c r="AF491" s="34">
        <v>0.0</v>
      </c>
      <c r="AG491" s="34" t="s">
        <v>252</v>
      </c>
      <c r="AH491" s="34" t="s">
        <v>971</v>
      </c>
    </row>
    <row r="492">
      <c r="AE492" s="34" t="s">
        <v>674</v>
      </c>
      <c r="AF492" s="34">
        <v>0.0</v>
      </c>
      <c r="AG492" s="34" t="s">
        <v>252</v>
      </c>
      <c r="AH492" s="34" t="s">
        <v>971</v>
      </c>
    </row>
    <row r="493">
      <c r="AE493" s="34" t="s">
        <v>674</v>
      </c>
      <c r="AF493" s="34">
        <v>0.0</v>
      </c>
      <c r="AG493" s="34" t="s">
        <v>252</v>
      </c>
      <c r="AH493" s="34" t="s">
        <v>971</v>
      </c>
    </row>
    <row r="494">
      <c r="AE494" s="34" t="s">
        <v>674</v>
      </c>
      <c r="AF494" s="34">
        <v>0.0</v>
      </c>
      <c r="AG494" s="34" t="s">
        <v>252</v>
      </c>
      <c r="AH494" s="34" t="s">
        <v>971</v>
      </c>
    </row>
    <row r="495">
      <c r="AE495" s="34" t="s">
        <v>674</v>
      </c>
      <c r="AF495" s="34">
        <v>0.0</v>
      </c>
      <c r="AG495" s="34" t="s">
        <v>252</v>
      </c>
      <c r="AH495" s="34" t="s">
        <v>971</v>
      </c>
    </row>
    <row r="496">
      <c r="AE496" s="34" t="s">
        <v>674</v>
      </c>
      <c r="AF496" s="34">
        <v>0.0</v>
      </c>
      <c r="AG496" s="34" t="s">
        <v>252</v>
      </c>
      <c r="AH496" s="34" t="s">
        <v>971</v>
      </c>
    </row>
    <row r="497">
      <c r="AE497" s="34" t="s">
        <v>674</v>
      </c>
      <c r="AF497" s="34">
        <v>0.0</v>
      </c>
      <c r="AG497" s="34" t="s">
        <v>252</v>
      </c>
      <c r="AH497" s="34" t="s">
        <v>971</v>
      </c>
    </row>
    <row r="498">
      <c r="AE498" s="34" t="s">
        <v>674</v>
      </c>
      <c r="AF498" s="34">
        <v>0.0</v>
      </c>
      <c r="AG498" s="34" t="s">
        <v>252</v>
      </c>
      <c r="AH498" s="34" t="s">
        <v>971</v>
      </c>
    </row>
    <row r="499">
      <c r="AE499" s="34" t="s">
        <v>674</v>
      </c>
      <c r="AF499" s="34">
        <v>0.0</v>
      </c>
      <c r="AG499" s="34" t="s">
        <v>252</v>
      </c>
      <c r="AH499" s="34" t="s">
        <v>971</v>
      </c>
    </row>
    <row r="500">
      <c r="AE500" s="34" t="s">
        <v>674</v>
      </c>
      <c r="AF500" s="34">
        <v>0.0</v>
      </c>
      <c r="AG500" s="34" t="s">
        <v>252</v>
      </c>
      <c r="AH500" s="34" t="s">
        <v>971</v>
      </c>
    </row>
    <row r="501">
      <c r="AE501" s="34" t="s">
        <v>674</v>
      </c>
      <c r="AF501" s="34">
        <v>0.0</v>
      </c>
      <c r="AG501" s="34" t="s">
        <v>252</v>
      </c>
      <c r="AH501" s="34" t="s">
        <v>971</v>
      </c>
    </row>
    <row r="502">
      <c r="AE502" s="34" t="s">
        <v>674</v>
      </c>
      <c r="AF502" s="34">
        <v>0.0</v>
      </c>
      <c r="AG502" s="34" t="s">
        <v>252</v>
      </c>
      <c r="AH502" s="34" t="s">
        <v>971</v>
      </c>
    </row>
    <row r="503">
      <c r="AE503" s="34" t="s">
        <v>674</v>
      </c>
      <c r="AF503" s="34">
        <v>0.0</v>
      </c>
      <c r="AG503" s="34" t="s">
        <v>252</v>
      </c>
      <c r="AH503" s="34" t="s">
        <v>971</v>
      </c>
    </row>
    <row r="504">
      <c r="AE504" s="34" t="s">
        <v>674</v>
      </c>
      <c r="AF504" s="34">
        <v>0.0</v>
      </c>
      <c r="AG504" s="34" t="s">
        <v>252</v>
      </c>
      <c r="AH504" s="34" t="s">
        <v>971</v>
      </c>
    </row>
    <row r="505">
      <c r="AE505" s="34" t="s">
        <v>674</v>
      </c>
      <c r="AF505" s="34">
        <v>0.0</v>
      </c>
      <c r="AG505" s="34" t="s">
        <v>252</v>
      </c>
      <c r="AH505" s="34" t="s">
        <v>971</v>
      </c>
    </row>
    <row r="506">
      <c r="AE506" s="34" t="s">
        <v>674</v>
      </c>
      <c r="AF506" s="34">
        <v>0.0</v>
      </c>
      <c r="AG506" s="34" t="s">
        <v>252</v>
      </c>
      <c r="AH506" s="34" t="s">
        <v>971</v>
      </c>
    </row>
    <row r="507">
      <c r="AE507" s="34" t="s">
        <v>674</v>
      </c>
      <c r="AF507" s="34">
        <v>0.0</v>
      </c>
      <c r="AG507" s="34" t="s">
        <v>252</v>
      </c>
      <c r="AH507" s="34" t="s">
        <v>971</v>
      </c>
    </row>
    <row r="508">
      <c r="AE508" s="34" t="s">
        <v>674</v>
      </c>
      <c r="AF508" s="34">
        <v>0.0</v>
      </c>
      <c r="AG508" s="34" t="s">
        <v>252</v>
      </c>
      <c r="AH508" s="34" t="s">
        <v>971</v>
      </c>
    </row>
    <row r="509">
      <c r="AE509" s="34" t="s">
        <v>674</v>
      </c>
      <c r="AF509" s="34">
        <v>0.0</v>
      </c>
      <c r="AG509" s="34" t="s">
        <v>252</v>
      </c>
      <c r="AH509" s="34" t="s">
        <v>971</v>
      </c>
    </row>
    <row r="510">
      <c r="AE510" s="34" t="s">
        <v>674</v>
      </c>
      <c r="AF510" s="34">
        <v>0.0</v>
      </c>
      <c r="AG510" s="34" t="s">
        <v>252</v>
      </c>
      <c r="AH510" s="34" t="s">
        <v>971</v>
      </c>
    </row>
    <row r="511">
      <c r="AE511" s="34" t="s">
        <v>674</v>
      </c>
      <c r="AF511" s="34">
        <v>0.0</v>
      </c>
      <c r="AG511" s="34" t="s">
        <v>252</v>
      </c>
      <c r="AH511" s="34" t="s">
        <v>971</v>
      </c>
    </row>
    <row r="512">
      <c r="AE512" s="34" t="s">
        <v>674</v>
      </c>
      <c r="AF512" s="34">
        <v>0.0</v>
      </c>
      <c r="AG512" s="34" t="s">
        <v>252</v>
      </c>
      <c r="AH512" s="34" t="s">
        <v>971</v>
      </c>
    </row>
    <row r="513">
      <c r="AE513" s="34" t="s">
        <v>674</v>
      </c>
      <c r="AF513" s="34">
        <v>0.0</v>
      </c>
      <c r="AG513" s="34" t="s">
        <v>252</v>
      </c>
      <c r="AH513" s="34" t="s">
        <v>971</v>
      </c>
    </row>
    <row r="514">
      <c r="AE514" s="34" t="s">
        <v>674</v>
      </c>
      <c r="AF514" s="34">
        <v>0.0</v>
      </c>
      <c r="AG514" s="34" t="s">
        <v>252</v>
      </c>
      <c r="AH514" s="34" t="s">
        <v>971</v>
      </c>
    </row>
    <row r="515">
      <c r="AE515" s="34" t="s">
        <v>674</v>
      </c>
      <c r="AF515" s="34">
        <v>0.0</v>
      </c>
      <c r="AG515" s="34" t="s">
        <v>252</v>
      </c>
      <c r="AH515" s="34" t="s">
        <v>971</v>
      </c>
    </row>
    <row r="516">
      <c r="AE516" s="34" t="s">
        <v>674</v>
      </c>
      <c r="AF516" s="34">
        <v>0.0</v>
      </c>
      <c r="AG516" s="34" t="s">
        <v>252</v>
      </c>
      <c r="AH516" s="34" t="s">
        <v>971</v>
      </c>
    </row>
    <row r="517">
      <c r="AE517" s="34" t="s">
        <v>674</v>
      </c>
      <c r="AF517" s="34">
        <v>0.0</v>
      </c>
      <c r="AG517" s="34" t="s">
        <v>252</v>
      </c>
      <c r="AH517" s="34" t="s">
        <v>971</v>
      </c>
    </row>
    <row r="518">
      <c r="AE518" s="34" t="s">
        <v>674</v>
      </c>
      <c r="AF518" s="34">
        <v>0.0</v>
      </c>
      <c r="AG518" s="34" t="s">
        <v>252</v>
      </c>
      <c r="AH518" s="34" t="s">
        <v>971</v>
      </c>
    </row>
    <row r="519">
      <c r="AE519" s="34" t="s">
        <v>674</v>
      </c>
      <c r="AF519" s="34">
        <v>0.0</v>
      </c>
      <c r="AG519" s="34" t="s">
        <v>252</v>
      </c>
      <c r="AH519" s="34" t="s">
        <v>971</v>
      </c>
    </row>
    <row r="520">
      <c r="AE520" s="34" t="s">
        <v>674</v>
      </c>
      <c r="AF520" s="34">
        <v>0.0</v>
      </c>
      <c r="AG520" s="34" t="s">
        <v>252</v>
      </c>
      <c r="AH520" s="34" t="s">
        <v>971</v>
      </c>
    </row>
    <row r="521">
      <c r="AE521" s="34" t="s">
        <v>674</v>
      </c>
      <c r="AF521" s="34">
        <v>0.0</v>
      </c>
      <c r="AG521" s="34" t="s">
        <v>252</v>
      </c>
      <c r="AH521" s="34" t="s">
        <v>971</v>
      </c>
    </row>
    <row r="522">
      <c r="AE522" s="34" t="s">
        <v>674</v>
      </c>
      <c r="AF522" s="34">
        <v>0.0</v>
      </c>
      <c r="AG522" s="34" t="s">
        <v>252</v>
      </c>
      <c r="AH522" s="34" t="s">
        <v>971</v>
      </c>
    </row>
    <row r="523">
      <c r="AE523" s="34" t="s">
        <v>674</v>
      </c>
      <c r="AF523" s="34">
        <v>0.0</v>
      </c>
      <c r="AG523" s="34" t="s">
        <v>252</v>
      </c>
      <c r="AH523" s="34" t="s">
        <v>971</v>
      </c>
    </row>
    <row r="524">
      <c r="AE524" s="34" t="s">
        <v>674</v>
      </c>
      <c r="AF524" s="34">
        <v>0.0</v>
      </c>
      <c r="AG524" s="34" t="s">
        <v>252</v>
      </c>
      <c r="AH524" s="34" t="s">
        <v>971</v>
      </c>
    </row>
    <row r="525">
      <c r="AE525" s="34" t="s">
        <v>674</v>
      </c>
      <c r="AF525" s="34">
        <v>0.0</v>
      </c>
      <c r="AG525" s="34" t="s">
        <v>252</v>
      </c>
      <c r="AH525" s="34" t="s">
        <v>971</v>
      </c>
    </row>
    <row r="526">
      <c r="AE526" s="34" t="s">
        <v>674</v>
      </c>
      <c r="AF526" s="34">
        <v>0.0</v>
      </c>
      <c r="AG526" s="34" t="s">
        <v>252</v>
      </c>
      <c r="AH526" s="34" t="s">
        <v>971</v>
      </c>
    </row>
    <row r="527">
      <c r="AE527" s="34" t="s">
        <v>674</v>
      </c>
      <c r="AF527" s="34">
        <v>0.0</v>
      </c>
      <c r="AG527" s="34" t="s">
        <v>252</v>
      </c>
      <c r="AH527" s="34" t="s">
        <v>971</v>
      </c>
    </row>
    <row r="528">
      <c r="AE528" s="34" t="s">
        <v>674</v>
      </c>
      <c r="AF528" s="34">
        <v>0.0</v>
      </c>
      <c r="AG528" s="34" t="s">
        <v>252</v>
      </c>
      <c r="AH528" s="34" t="s">
        <v>971</v>
      </c>
    </row>
    <row r="529">
      <c r="AE529" s="34" t="s">
        <v>674</v>
      </c>
      <c r="AF529" s="34">
        <v>0.0</v>
      </c>
      <c r="AG529" s="34" t="s">
        <v>252</v>
      </c>
      <c r="AH529" s="34" t="s">
        <v>971</v>
      </c>
    </row>
    <row r="530">
      <c r="AE530" s="34" t="s">
        <v>674</v>
      </c>
      <c r="AF530" s="34">
        <v>0.0</v>
      </c>
      <c r="AG530" s="34" t="s">
        <v>252</v>
      </c>
      <c r="AH530" s="34" t="s">
        <v>971</v>
      </c>
    </row>
    <row r="531">
      <c r="AE531" s="34" t="s">
        <v>674</v>
      </c>
      <c r="AF531" s="34">
        <v>0.0</v>
      </c>
      <c r="AG531" s="34" t="s">
        <v>252</v>
      </c>
      <c r="AH531" s="34" t="s">
        <v>971</v>
      </c>
    </row>
    <row r="532">
      <c r="AE532" s="34" t="s">
        <v>674</v>
      </c>
      <c r="AF532" s="34">
        <v>0.0</v>
      </c>
      <c r="AG532" s="34" t="s">
        <v>252</v>
      </c>
      <c r="AH532" s="34" t="s">
        <v>971</v>
      </c>
    </row>
    <row r="533">
      <c r="AE533" s="34" t="s">
        <v>674</v>
      </c>
      <c r="AF533" s="34">
        <v>0.0</v>
      </c>
      <c r="AG533" s="34" t="s">
        <v>252</v>
      </c>
      <c r="AH533" s="34" t="s">
        <v>971</v>
      </c>
    </row>
    <row r="534">
      <c r="AE534" s="34" t="s">
        <v>674</v>
      </c>
      <c r="AF534" s="34">
        <v>0.0</v>
      </c>
      <c r="AG534" s="34" t="s">
        <v>252</v>
      </c>
      <c r="AH534" s="34" t="s">
        <v>971</v>
      </c>
    </row>
    <row r="535">
      <c r="AE535" s="34" t="s">
        <v>674</v>
      </c>
      <c r="AF535" s="34">
        <v>0.0</v>
      </c>
      <c r="AG535" s="34" t="s">
        <v>252</v>
      </c>
      <c r="AH535" s="34" t="s">
        <v>971</v>
      </c>
    </row>
    <row r="536">
      <c r="AE536" s="34" t="s">
        <v>674</v>
      </c>
      <c r="AF536" s="34">
        <v>0.0</v>
      </c>
      <c r="AG536" s="34" t="s">
        <v>252</v>
      </c>
      <c r="AH536" s="34" t="s">
        <v>971</v>
      </c>
    </row>
    <row r="537">
      <c r="AE537" s="34" t="s">
        <v>674</v>
      </c>
      <c r="AF537" s="34">
        <v>0.0</v>
      </c>
      <c r="AG537" s="34" t="s">
        <v>252</v>
      </c>
      <c r="AH537" s="34" t="s">
        <v>971</v>
      </c>
    </row>
    <row r="538">
      <c r="AE538" s="34" t="s">
        <v>674</v>
      </c>
      <c r="AF538" s="34">
        <v>0.0</v>
      </c>
      <c r="AG538" s="34" t="s">
        <v>252</v>
      </c>
      <c r="AH538" s="34" t="s">
        <v>971</v>
      </c>
    </row>
    <row r="539">
      <c r="AE539" s="34" t="s">
        <v>674</v>
      </c>
      <c r="AF539" s="34">
        <v>0.0</v>
      </c>
      <c r="AG539" s="34" t="s">
        <v>252</v>
      </c>
      <c r="AH539" s="34" t="s">
        <v>971</v>
      </c>
    </row>
    <row r="540">
      <c r="AE540" s="34" t="s">
        <v>674</v>
      </c>
      <c r="AF540" s="34">
        <v>0.0</v>
      </c>
      <c r="AG540" s="34" t="s">
        <v>252</v>
      </c>
      <c r="AH540" s="34" t="s">
        <v>971</v>
      </c>
    </row>
    <row r="541">
      <c r="AE541" s="34" t="s">
        <v>674</v>
      </c>
      <c r="AF541" s="34">
        <v>0.0</v>
      </c>
      <c r="AG541" s="34" t="s">
        <v>252</v>
      </c>
      <c r="AH541" s="34" t="s">
        <v>971</v>
      </c>
    </row>
    <row r="542">
      <c r="AE542" s="34" t="s">
        <v>674</v>
      </c>
      <c r="AF542" s="34">
        <v>0.0</v>
      </c>
      <c r="AG542" s="34" t="s">
        <v>252</v>
      </c>
      <c r="AH542" s="34" t="s">
        <v>971</v>
      </c>
    </row>
    <row r="543">
      <c r="AE543" s="34" t="s">
        <v>674</v>
      </c>
      <c r="AF543" s="34">
        <v>0.0</v>
      </c>
      <c r="AG543" s="34" t="s">
        <v>252</v>
      </c>
      <c r="AH543" s="34" t="s">
        <v>971</v>
      </c>
    </row>
    <row r="544">
      <c r="AE544" s="34" t="s">
        <v>674</v>
      </c>
      <c r="AF544" s="34">
        <v>0.0</v>
      </c>
      <c r="AG544" s="34" t="s">
        <v>252</v>
      </c>
      <c r="AH544" s="34" t="s">
        <v>971</v>
      </c>
    </row>
    <row r="545">
      <c r="AE545" s="34" t="s">
        <v>674</v>
      </c>
      <c r="AF545" s="34">
        <v>0.0</v>
      </c>
      <c r="AG545" s="34" t="s">
        <v>252</v>
      </c>
      <c r="AH545" s="34" t="s">
        <v>971</v>
      </c>
    </row>
    <row r="546">
      <c r="AE546" s="34" t="s">
        <v>674</v>
      </c>
      <c r="AF546" s="34">
        <v>0.0</v>
      </c>
      <c r="AG546" s="34" t="s">
        <v>252</v>
      </c>
      <c r="AH546" s="34" t="s">
        <v>971</v>
      </c>
    </row>
    <row r="547">
      <c r="AE547" s="34" t="s">
        <v>674</v>
      </c>
      <c r="AF547" s="34">
        <v>0.0</v>
      </c>
      <c r="AG547" s="34" t="s">
        <v>252</v>
      </c>
      <c r="AH547" s="34" t="s">
        <v>971</v>
      </c>
    </row>
    <row r="548">
      <c r="AE548" s="34" t="s">
        <v>674</v>
      </c>
      <c r="AF548" s="34">
        <v>0.0</v>
      </c>
      <c r="AG548" s="34" t="s">
        <v>252</v>
      </c>
      <c r="AH548" s="34" t="s">
        <v>971</v>
      </c>
    </row>
    <row r="549">
      <c r="AE549" s="34" t="s">
        <v>674</v>
      </c>
      <c r="AF549" s="34">
        <v>0.0</v>
      </c>
      <c r="AG549" s="34" t="s">
        <v>252</v>
      </c>
      <c r="AH549" s="34" t="s">
        <v>971</v>
      </c>
    </row>
    <row r="550">
      <c r="AE550" s="34" t="s">
        <v>674</v>
      </c>
      <c r="AF550" s="34">
        <v>0.0</v>
      </c>
      <c r="AG550" s="34" t="s">
        <v>252</v>
      </c>
      <c r="AH550" s="34" t="s">
        <v>971</v>
      </c>
    </row>
    <row r="551">
      <c r="AE551" s="34" t="s">
        <v>674</v>
      </c>
      <c r="AF551" s="34">
        <v>0.0</v>
      </c>
      <c r="AG551" s="34" t="s">
        <v>252</v>
      </c>
      <c r="AH551" s="34" t="s">
        <v>971</v>
      </c>
    </row>
    <row r="552">
      <c r="AE552" s="34" t="s">
        <v>674</v>
      </c>
      <c r="AF552" s="34">
        <v>0.0</v>
      </c>
      <c r="AG552" s="34" t="s">
        <v>252</v>
      </c>
      <c r="AH552" s="34" t="s">
        <v>971</v>
      </c>
    </row>
    <row r="553">
      <c r="AE553" s="34" t="s">
        <v>674</v>
      </c>
      <c r="AF553" s="34">
        <v>0.0</v>
      </c>
      <c r="AG553" s="34" t="s">
        <v>252</v>
      </c>
      <c r="AH553" s="34" t="s">
        <v>971</v>
      </c>
    </row>
    <row r="554">
      <c r="AE554" s="34" t="s">
        <v>674</v>
      </c>
      <c r="AF554" s="34">
        <v>0.0</v>
      </c>
      <c r="AG554" s="34" t="s">
        <v>252</v>
      </c>
      <c r="AH554" s="34" t="s">
        <v>971</v>
      </c>
    </row>
    <row r="555">
      <c r="AE555" s="34" t="s">
        <v>674</v>
      </c>
      <c r="AF555" s="34">
        <v>0.0</v>
      </c>
      <c r="AG555" s="34" t="s">
        <v>252</v>
      </c>
      <c r="AH555" s="34" t="s">
        <v>971</v>
      </c>
    </row>
    <row r="556">
      <c r="AE556" s="34" t="s">
        <v>674</v>
      </c>
      <c r="AF556" s="34">
        <v>0.0</v>
      </c>
      <c r="AG556" s="34" t="s">
        <v>252</v>
      </c>
      <c r="AH556" s="34" t="s">
        <v>971</v>
      </c>
    </row>
    <row r="557">
      <c r="AE557" s="34" t="s">
        <v>674</v>
      </c>
      <c r="AF557" s="34">
        <v>0.0</v>
      </c>
      <c r="AG557" s="34" t="s">
        <v>252</v>
      </c>
      <c r="AH557" s="34" t="s">
        <v>971</v>
      </c>
    </row>
    <row r="558">
      <c r="AE558" s="34" t="s">
        <v>674</v>
      </c>
      <c r="AF558" s="34">
        <v>0.0</v>
      </c>
      <c r="AG558" s="34" t="s">
        <v>252</v>
      </c>
      <c r="AH558" s="34" t="s">
        <v>971</v>
      </c>
    </row>
    <row r="559">
      <c r="AE559" s="34" t="s">
        <v>674</v>
      </c>
      <c r="AF559" s="34">
        <v>0.0</v>
      </c>
      <c r="AG559" s="34" t="s">
        <v>252</v>
      </c>
      <c r="AH559" s="34" t="s">
        <v>971</v>
      </c>
    </row>
    <row r="560">
      <c r="AE560" s="34" t="s">
        <v>674</v>
      </c>
      <c r="AF560" s="34">
        <v>0.0</v>
      </c>
      <c r="AG560" s="34" t="s">
        <v>252</v>
      </c>
      <c r="AH560" s="34" t="s">
        <v>971</v>
      </c>
    </row>
    <row r="561">
      <c r="AE561" s="34" t="s">
        <v>674</v>
      </c>
      <c r="AF561" s="34">
        <v>0.0</v>
      </c>
      <c r="AG561" s="34" t="s">
        <v>252</v>
      </c>
      <c r="AH561" s="34" t="s">
        <v>971</v>
      </c>
    </row>
    <row r="562">
      <c r="AE562" s="34" t="s">
        <v>674</v>
      </c>
      <c r="AF562" s="34">
        <v>0.0</v>
      </c>
      <c r="AG562" s="34" t="s">
        <v>252</v>
      </c>
      <c r="AH562" s="34" t="s">
        <v>971</v>
      </c>
    </row>
    <row r="563">
      <c r="AE563" s="34" t="s">
        <v>674</v>
      </c>
      <c r="AF563" s="34">
        <v>0.0</v>
      </c>
      <c r="AG563" s="34" t="s">
        <v>252</v>
      </c>
      <c r="AH563" s="34" t="s">
        <v>971</v>
      </c>
    </row>
    <row r="564">
      <c r="AE564" s="34" t="s">
        <v>674</v>
      </c>
      <c r="AF564" s="34">
        <v>0.0</v>
      </c>
      <c r="AG564" s="34" t="s">
        <v>252</v>
      </c>
      <c r="AH564" s="34" t="s">
        <v>971</v>
      </c>
    </row>
    <row r="565">
      <c r="AE565" s="34" t="s">
        <v>674</v>
      </c>
      <c r="AF565" s="34">
        <v>0.0</v>
      </c>
      <c r="AG565" s="34" t="s">
        <v>252</v>
      </c>
      <c r="AH565" s="34" t="s">
        <v>971</v>
      </c>
    </row>
    <row r="566">
      <c r="AE566" s="34" t="s">
        <v>674</v>
      </c>
      <c r="AF566" s="34">
        <v>0.0</v>
      </c>
      <c r="AG566" s="34" t="s">
        <v>252</v>
      </c>
      <c r="AH566" s="34" t="s">
        <v>971</v>
      </c>
    </row>
    <row r="567">
      <c r="AE567" s="34" t="s">
        <v>674</v>
      </c>
      <c r="AF567" s="34">
        <v>0.0</v>
      </c>
      <c r="AG567" s="34" t="s">
        <v>252</v>
      </c>
      <c r="AH567" s="34" t="s">
        <v>971</v>
      </c>
    </row>
    <row r="568">
      <c r="AE568" s="34" t="s">
        <v>674</v>
      </c>
      <c r="AF568" s="34">
        <v>0.0</v>
      </c>
      <c r="AG568" s="34" t="s">
        <v>252</v>
      </c>
      <c r="AH568" s="34" t="s">
        <v>971</v>
      </c>
    </row>
    <row r="569">
      <c r="AE569" s="34" t="s">
        <v>674</v>
      </c>
      <c r="AF569" s="34">
        <v>0.0</v>
      </c>
      <c r="AG569" s="34" t="s">
        <v>252</v>
      </c>
      <c r="AH569" s="34" t="s">
        <v>971</v>
      </c>
    </row>
    <row r="570">
      <c r="AE570" s="34" t="s">
        <v>674</v>
      </c>
      <c r="AF570" s="34">
        <v>0.0</v>
      </c>
      <c r="AG570" s="34" t="s">
        <v>252</v>
      </c>
      <c r="AH570" s="34" t="s">
        <v>971</v>
      </c>
    </row>
    <row r="571">
      <c r="AE571" s="34" t="s">
        <v>674</v>
      </c>
      <c r="AF571" s="34">
        <v>0.0</v>
      </c>
      <c r="AG571" s="34" t="s">
        <v>252</v>
      </c>
      <c r="AH571" s="34" t="s">
        <v>971</v>
      </c>
    </row>
    <row r="572">
      <c r="AE572" s="34" t="s">
        <v>674</v>
      </c>
      <c r="AF572" s="34">
        <v>0.0</v>
      </c>
      <c r="AG572" s="34" t="s">
        <v>252</v>
      </c>
      <c r="AH572" s="34" t="s">
        <v>971</v>
      </c>
    </row>
    <row r="573">
      <c r="AE573" s="34" t="s">
        <v>674</v>
      </c>
      <c r="AF573" s="34">
        <v>0.0</v>
      </c>
      <c r="AG573" s="34" t="s">
        <v>252</v>
      </c>
      <c r="AH573" s="34" t="s">
        <v>971</v>
      </c>
    </row>
    <row r="574">
      <c r="AE574" s="34" t="s">
        <v>674</v>
      </c>
      <c r="AF574" s="34">
        <v>0.0</v>
      </c>
      <c r="AG574" s="34" t="s">
        <v>252</v>
      </c>
      <c r="AH574" s="34" t="s">
        <v>971</v>
      </c>
    </row>
    <row r="575">
      <c r="AE575" s="34" t="s">
        <v>674</v>
      </c>
      <c r="AF575" s="34">
        <v>0.0</v>
      </c>
      <c r="AG575" s="34" t="s">
        <v>252</v>
      </c>
      <c r="AH575" s="34" t="s">
        <v>971</v>
      </c>
    </row>
    <row r="576">
      <c r="AE576" s="34" t="s">
        <v>674</v>
      </c>
      <c r="AF576" s="34">
        <v>0.0</v>
      </c>
      <c r="AG576" s="34" t="s">
        <v>252</v>
      </c>
      <c r="AH576" s="34" t="s">
        <v>971</v>
      </c>
    </row>
    <row r="577">
      <c r="AE577" s="34" t="s">
        <v>674</v>
      </c>
      <c r="AF577" s="34">
        <v>0.0</v>
      </c>
      <c r="AG577" s="34" t="s">
        <v>252</v>
      </c>
      <c r="AH577" s="34" t="s">
        <v>971</v>
      </c>
    </row>
    <row r="578">
      <c r="AE578" s="34" t="s">
        <v>674</v>
      </c>
      <c r="AF578" s="34">
        <v>0.0</v>
      </c>
      <c r="AG578" s="34" t="s">
        <v>252</v>
      </c>
      <c r="AH578" s="34" t="s">
        <v>971</v>
      </c>
    </row>
    <row r="579">
      <c r="AE579" s="34" t="s">
        <v>674</v>
      </c>
      <c r="AF579" s="34">
        <v>0.0</v>
      </c>
      <c r="AG579" s="34" t="s">
        <v>252</v>
      </c>
      <c r="AH579" s="34" t="s">
        <v>971</v>
      </c>
    </row>
    <row r="580">
      <c r="AE580" s="34" t="s">
        <v>674</v>
      </c>
      <c r="AF580" s="34">
        <v>0.0</v>
      </c>
      <c r="AG580" s="34" t="s">
        <v>252</v>
      </c>
      <c r="AH580" s="34" t="s">
        <v>971</v>
      </c>
    </row>
    <row r="581">
      <c r="AE581" s="34" t="s">
        <v>674</v>
      </c>
      <c r="AF581" s="34">
        <v>0.0</v>
      </c>
      <c r="AG581" s="34" t="s">
        <v>252</v>
      </c>
      <c r="AH581" s="34" t="s">
        <v>971</v>
      </c>
    </row>
    <row r="582">
      <c r="AE582" s="34" t="s">
        <v>674</v>
      </c>
      <c r="AF582" s="34">
        <v>0.0</v>
      </c>
      <c r="AG582" s="34" t="s">
        <v>252</v>
      </c>
      <c r="AH582" s="34" t="s">
        <v>971</v>
      </c>
    </row>
    <row r="583">
      <c r="AE583" s="34" t="s">
        <v>674</v>
      </c>
      <c r="AF583" s="34">
        <v>0.0</v>
      </c>
      <c r="AG583" s="34" t="s">
        <v>252</v>
      </c>
      <c r="AH583" s="34" t="s">
        <v>971</v>
      </c>
    </row>
    <row r="584">
      <c r="AE584" s="34" t="s">
        <v>674</v>
      </c>
      <c r="AF584" s="34">
        <v>0.0</v>
      </c>
      <c r="AG584" s="34" t="s">
        <v>252</v>
      </c>
      <c r="AH584" s="34" t="s">
        <v>971</v>
      </c>
    </row>
    <row r="585">
      <c r="AE585" s="34" t="s">
        <v>674</v>
      </c>
      <c r="AF585" s="34">
        <v>0.0</v>
      </c>
      <c r="AG585" s="34" t="s">
        <v>252</v>
      </c>
      <c r="AH585" s="34" t="s">
        <v>971</v>
      </c>
    </row>
    <row r="586">
      <c r="AE586" s="34" t="s">
        <v>674</v>
      </c>
      <c r="AF586" s="34">
        <v>0.0</v>
      </c>
      <c r="AG586" s="34" t="s">
        <v>252</v>
      </c>
      <c r="AH586" s="34" t="s">
        <v>971</v>
      </c>
    </row>
    <row r="587">
      <c r="AE587" s="34" t="s">
        <v>674</v>
      </c>
      <c r="AF587" s="34">
        <v>0.0</v>
      </c>
      <c r="AG587" s="34" t="s">
        <v>252</v>
      </c>
      <c r="AH587" s="34" t="s">
        <v>971</v>
      </c>
    </row>
    <row r="588">
      <c r="AE588" s="34" t="s">
        <v>674</v>
      </c>
      <c r="AF588" s="34">
        <v>0.0</v>
      </c>
      <c r="AG588" s="34" t="s">
        <v>252</v>
      </c>
      <c r="AH588" s="34" t="s">
        <v>971</v>
      </c>
    </row>
    <row r="589">
      <c r="AE589" s="34" t="s">
        <v>674</v>
      </c>
      <c r="AF589" s="34">
        <v>0.0</v>
      </c>
      <c r="AG589" s="34" t="s">
        <v>252</v>
      </c>
      <c r="AH589" s="34" t="s">
        <v>971</v>
      </c>
    </row>
    <row r="590">
      <c r="AE590" s="34" t="s">
        <v>674</v>
      </c>
      <c r="AF590" s="34">
        <v>0.0</v>
      </c>
      <c r="AG590" s="34" t="s">
        <v>252</v>
      </c>
      <c r="AH590" s="34" t="s">
        <v>971</v>
      </c>
    </row>
    <row r="591">
      <c r="AE591" s="34" t="s">
        <v>674</v>
      </c>
      <c r="AF591" s="34">
        <v>0.0</v>
      </c>
      <c r="AG591" s="34" t="s">
        <v>252</v>
      </c>
      <c r="AH591" s="34" t="s">
        <v>971</v>
      </c>
    </row>
    <row r="592">
      <c r="AE592" s="34" t="s">
        <v>674</v>
      </c>
      <c r="AF592" s="34">
        <v>0.0</v>
      </c>
      <c r="AG592" s="34" t="s">
        <v>252</v>
      </c>
      <c r="AH592" s="34" t="s">
        <v>971</v>
      </c>
    </row>
    <row r="593">
      <c r="AE593" s="34" t="s">
        <v>674</v>
      </c>
      <c r="AF593" s="34">
        <v>0.0</v>
      </c>
      <c r="AG593" s="34" t="s">
        <v>252</v>
      </c>
      <c r="AH593" s="34" t="s">
        <v>971</v>
      </c>
    </row>
    <row r="594">
      <c r="AE594" s="34" t="s">
        <v>674</v>
      </c>
      <c r="AF594" s="34">
        <v>0.0</v>
      </c>
      <c r="AG594" s="34" t="s">
        <v>252</v>
      </c>
      <c r="AH594" s="34" t="s">
        <v>971</v>
      </c>
    </row>
    <row r="595">
      <c r="AE595" s="34" t="s">
        <v>674</v>
      </c>
      <c r="AF595" s="34">
        <v>0.0</v>
      </c>
      <c r="AG595" s="34" t="s">
        <v>252</v>
      </c>
      <c r="AH595" s="34" t="s">
        <v>971</v>
      </c>
    </row>
    <row r="596">
      <c r="AE596" s="34" t="s">
        <v>674</v>
      </c>
      <c r="AF596" s="34">
        <v>0.0</v>
      </c>
      <c r="AG596" s="34" t="s">
        <v>252</v>
      </c>
      <c r="AH596" s="34" t="s">
        <v>971</v>
      </c>
    </row>
    <row r="597">
      <c r="AE597" s="34" t="s">
        <v>674</v>
      </c>
      <c r="AF597" s="34">
        <v>0.0</v>
      </c>
      <c r="AG597" s="34" t="s">
        <v>252</v>
      </c>
      <c r="AH597" s="34" t="s">
        <v>971</v>
      </c>
    </row>
    <row r="598">
      <c r="AE598" s="34" t="s">
        <v>674</v>
      </c>
      <c r="AF598" s="34">
        <v>0.0</v>
      </c>
      <c r="AG598" s="34" t="s">
        <v>252</v>
      </c>
      <c r="AH598" s="34" t="s">
        <v>971</v>
      </c>
    </row>
    <row r="599">
      <c r="AE599" s="34" t="s">
        <v>674</v>
      </c>
      <c r="AF599" s="34">
        <v>0.0</v>
      </c>
      <c r="AG599" s="34" t="s">
        <v>252</v>
      </c>
      <c r="AH599" s="34" t="s">
        <v>971</v>
      </c>
    </row>
    <row r="600">
      <c r="AE600" s="34" t="s">
        <v>674</v>
      </c>
      <c r="AF600" s="34">
        <v>0.0</v>
      </c>
      <c r="AG600" s="34" t="s">
        <v>252</v>
      </c>
      <c r="AH600" s="34" t="s">
        <v>971</v>
      </c>
    </row>
    <row r="601">
      <c r="AE601" s="34" t="s">
        <v>674</v>
      </c>
      <c r="AF601" s="34">
        <v>0.0</v>
      </c>
      <c r="AG601" s="34" t="s">
        <v>252</v>
      </c>
      <c r="AH601" s="34" t="s">
        <v>971</v>
      </c>
    </row>
    <row r="602">
      <c r="AE602" s="34" t="s">
        <v>674</v>
      </c>
      <c r="AF602" s="34">
        <v>0.0</v>
      </c>
      <c r="AG602" s="34" t="s">
        <v>252</v>
      </c>
      <c r="AH602" s="34" t="s">
        <v>971</v>
      </c>
    </row>
    <row r="603">
      <c r="AE603" s="34" t="s">
        <v>674</v>
      </c>
      <c r="AF603" s="34">
        <v>0.0</v>
      </c>
      <c r="AG603" s="34" t="s">
        <v>252</v>
      </c>
      <c r="AH603" s="34" t="s">
        <v>971</v>
      </c>
    </row>
    <row r="604">
      <c r="AE604" s="34" t="s">
        <v>674</v>
      </c>
      <c r="AF604" s="34">
        <v>0.0</v>
      </c>
      <c r="AG604" s="34" t="s">
        <v>252</v>
      </c>
      <c r="AH604" s="34" t="s">
        <v>971</v>
      </c>
    </row>
    <row r="605">
      <c r="AE605" s="34" t="s">
        <v>674</v>
      </c>
      <c r="AF605" s="34">
        <v>0.0</v>
      </c>
      <c r="AG605" s="34" t="s">
        <v>252</v>
      </c>
      <c r="AH605" s="34" t="s">
        <v>971</v>
      </c>
    </row>
    <row r="606">
      <c r="AE606" s="34" t="s">
        <v>674</v>
      </c>
      <c r="AF606" s="34">
        <v>0.0</v>
      </c>
      <c r="AG606" s="34" t="s">
        <v>252</v>
      </c>
      <c r="AH606" s="34" t="s">
        <v>971</v>
      </c>
    </row>
    <row r="607">
      <c r="AE607" s="34" t="s">
        <v>674</v>
      </c>
      <c r="AF607" s="34">
        <v>0.0</v>
      </c>
      <c r="AG607" s="34" t="s">
        <v>252</v>
      </c>
      <c r="AH607" s="34" t="s">
        <v>971</v>
      </c>
    </row>
    <row r="608">
      <c r="AE608" s="34" t="s">
        <v>674</v>
      </c>
      <c r="AF608" s="34">
        <v>0.0</v>
      </c>
      <c r="AG608" s="34" t="s">
        <v>252</v>
      </c>
      <c r="AH608" s="34" t="s">
        <v>971</v>
      </c>
    </row>
    <row r="609">
      <c r="AE609" s="34" t="s">
        <v>674</v>
      </c>
      <c r="AF609" s="34">
        <v>0.0</v>
      </c>
      <c r="AG609" s="34" t="s">
        <v>252</v>
      </c>
      <c r="AH609" s="34" t="s">
        <v>971</v>
      </c>
    </row>
    <row r="610">
      <c r="AE610" s="34" t="s">
        <v>674</v>
      </c>
      <c r="AF610" s="34">
        <v>0.0</v>
      </c>
      <c r="AG610" s="34" t="s">
        <v>252</v>
      </c>
      <c r="AH610" s="34" t="s">
        <v>971</v>
      </c>
    </row>
    <row r="611">
      <c r="AE611" s="34" t="s">
        <v>674</v>
      </c>
      <c r="AF611" s="34">
        <v>0.0</v>
      </c>
      <c r="AG611" s="34" t="s">
        <v>252</v>
      </c>
      <c r="AH611" s="34" t="s">
        <v>971</v>
      </c>
    </row>
    <row r="612">
      <c r="AE612" s="34" t="s">
        <v>674</v>
      </c>
      <c r="AF612" s="34">
        <v>0.0</v>
      </c>
      <c r="AG612" s="34" t="s">
        <v>252</v>
      </c>
      <c r="AH612" s="34" t="s">
        <v>971</v>
      </c>
    </row>
    <row r="613">
      <c r="AE613" s="34" t="s">
        <v>674</v>
      </c>
      <c r="AF613" s="34">
        <v>0.0</v>
      </c>
      <c r="AG613" s="34" t="s">
        <v>252</v>
      </c>
      <c r="AH613" s="34" t="s">
        <v>971</v>
      </c>
    </row>
    <row r="614">
      <c r="AE614" s="34" t="s">
        <v>674</v>
      </c>
      <c r="AF614" s="34">
        <v>0.0</v>
      </c>
      <c r="AG614" s="34" t="s">
        <v>252</v>
      </c>
      <c r="AH614" s="34" t="s">
        <v>971</v>
      </c>
    </row>
    <row r="615">
      <c r="AE615" s="34" t="s">
        <v>674</v>
      </c>
      <c r="AF615" s="34">
        <v>0.0</v>
      </c>
      <c r="AG615" s="34" t="s">
        <v>252</v>
      </c>
      <c r="AH615" s="34" t="s">
        <v>971</v>
      </c>
    </row>
    <row r="616">
      <c r="AE616" s="34" t="s">
        <v>674</v>
      </c>
      <c r="AF616" s="34">
        <v>0.0</v>
      </c>
      <c r="AG616" s="34" t="s">
        <v>252</v>
      </c>
      <c r="AH616" s="34" t="s">
        <v>971</v>
      </c>
    </row>
    <row r="617">
      <c r="AE617" s="34" t="s">
        <v>674</v>
      </c>
      <c r="AF617" s="34">
        <v>0.0</v>
      </c>
      <c r="AG617" s="34" t="s">
        <v>252</v>
      </c>
      <c r="AH617" s="34" t="s">
        <v>971</v>
      </c>
    </row>
    <row r="618">
      <c r="AE618" s="34" t="s">
        <v>674</v>
      </c>
      <c r="AF618" s="34">
        <v>0.0</v>
      </c>
      <c r="AG618" s="34" t="s">
        <v>252</v>
      </c>
      <c r="AH618" s="34" t="s">
        <v>971</v>
      </c>
    </row>
    <row r="619">
      <c r="AE619" s="34" t="s">
        <v>674</v>
      </c>
      <c r="AF619" s="34">
        <v>0.0</v>
      </c>
      <c r="AG619" s="34" t="s">
        <v>252</v>
      </c>
      <c r="AH619" s="34" t="s">
        <v>971</v>
      </c>
    </row>
    <row r="620">
      <c r="AE620" s="34" t="s">
        <v>674</v>
      </c>
      <c r="AF620" s="34">
        <v>0.0</v>
      </c>
      <c r="AG620" s="34" t="s">
        <v>252</v>
      </c>
      <c r="AH620" s="34" t="s">
        <v>971</v>
      </c>
    </row>
    <row r="621">
      <c r="AE621" s="34" t="s">
        <v>674</v>
      </c>
      <c r="AF621" s="34">
        <v>0.0</v>
      </c>
      <c r="AG621" s="34" t="s">
        <v>252</v>
      </c>
      <c r="AH621" s="34" t="s">
        <v>971</v>
      </c>
    </row>
    <row r="622">
      <c r="AE622" s="34" t="s">
        <v>674</v>
      </c>
      <c r="AF622" s="34">
        <v>0.0</v>
      </c>
      <c r="AG622" s="34" t="s">
        <v>252</v>
      </c>
      <c r="AH622" s="34" t="s">
        <v>971</v>
      </c>
    </row>
    <row r="623">
      <c r="AE623" s="34" t="s">
        <v>674</v>
      </c>
      <c r="AF623" s="34">
        <v>0.0</v>
      </c>
      <c r="AG623" s="34" t="s">
        <v>252</v>
      </c>
      <c r="AH623" s="34" t="s">
        <v>971</v>
      </c>
    </row>
    <row r="624">
      <c r="AE624" s="34" t="s">
        <v>674</v>
      </c>
      <c r="AF624" s="34">
        <v>0.0</v>
      </c>
      <c r="AG624" s="34" t="s">
        <v>252</v>
      </c>
      <c r="AH624" s="34" t="s">
        <v>971</v>
      </c>
    </row>
    <row r="625">
      <c r="AE625" s="34" t="s">
        <v>674</v>
      </c>
      <c r="AF625" s="34">
        <v>0.0</v>
      </c>
      <c r="AG625" s="34" t="s">
        <v>252</v>
      </c>
      <c r="AH625" s="34" t="s">
        <v>971</v>
      </c>
    </row>
    <row r="626">
      <c r="AE626" s="34" t="s">
        <v>674</v>
      </c>
      <c r="AF626" s="34">
        <v>0.0</v>
      </c>
      <c r="AG626" s="34" t="s">
        <v>252</v>
      </c>
      <c r="AH626" s="34" t="s">
        <v>971</v>
      </c>
    </row>
    <row r="627">
      <c r="AE627" s="34" t="s">
        <v>674</v>
      </c>
      <c r="AF627" s="34">
        <v>0.0</v>
      </c>
      <c r="AG627" s="34" t="s">
        <v>252</v>
      </c>
      <c r="AH627" s="34" t="s">
        <v>971</v>
      </c>
    </row>
    <row r="628">
      <c r="AE628" s="34" t="s">
        <v>674</v>
      </c>
      <c r="AF628" s="34">
        <v>0.0</v>
      </c>
      <c r="AG628" s="34" t="s">
        <v>252</v>
      </c>
      <c r="AH628" s="34" t="s">
        <v>971</v>
      </c>
    </row>
    <row r="629">
      <c r="AE629" s="34" t="s">
        <v>674</v>
      </c>
      <c r="AF629" s="34">
        <v>0.0</v>
      </c>
      <c r="AG629" s="34" t="s">
        <v>252</v>
      </c>
      <c r="AH629" s="34" t="s">
        <v>971</v>
      </c>
    </row>
    <row r="630">
      <c r="AE630" s="34" t="s">
        <v>674</v>
      </c>
      <c r="AF630" s="34">
        <v>0.0</v>
      </c>
      <c r="AG630" s="34" t="s">
        <v>252</v>
      </c>
      <c r="AH630" s="34" t="s">
        <v>971</v>
      </c>
    </row>
    <row r="631">
      <c r="AE631" s="34" t="s">
        <v>674</v>
      </c>
      <c r="AF631" s="34">
        <v>0.0</v>
      </c>
      <c r="AG631" s="34" t="s">
        <v>252</v>
      </c>
      <c r="AH631" s="34" t="s">
        <v>971</v>
      </c>
    </row>
    <row r="632">
      <c r="AE632" s="34" t="s">
        <v>674</v>
      </c>
      <c r="AF632" s="34">
        <v>0.0</v>
      </c>
      <c r="AG632" s="34" t="s">
        <v>252</v>
      </c>
      <c r="AH632" s="34" t="s">
        <v>971</v>
      </c>
    </row>
    <row r="633">
      <c r="AE633" s="34" t="s">
        <v>674</v>
      </c>
      <c r="AF633" s="34">
        <v>0.0</v>
      </c>
      <c r="AG633" s="34" t="s">
        <v>252</v>
      </c>
      <c r="AH633" s="34" t="s">
        <v>971</v>
      </c>
    </row>
    <row r="634">
      <c r="AE634" s="34" t="s">
        <v>674</v>
      </c>
      <c r="AF634" s="34">
        <v>0.0</v>
      </c>
      <c r="AG634" s="34" t="s">
        <v>252</v>
      </c>
      <c r="AH634" s="34" t="s">
        <v>971</v>
      </c>
    </row>
    <row r="635">
      <c r="AE635" s="34" t="s">
        <v>674</v>
      </c>
      <c r="AF635" s="34">
        <v>0.0</v>
      </c>
      <c r="AG635" s="34" t="s">
        <v>252</v>
      </c>
      <c r="AH635" s="34" t="s">
        <v>971</v>
      </c>
    </row>
    <row r="636">
      <c r="AE636" s="34" t="s">
        <v>674</v>
      </c>
      <c r="AF636" s="34">
        <v>0.0</v>
      </c>
      <c r="AG636" s="34" t="s">
        <v>252</v>
      </c>
      <c r="AH636" s="34" t="s">
        <v>971</v>
      </c>
    </row>
    <row r="637">
      <c r="AE637" s="34" t="s">
        <v>674</v>
      </c>
      <c r="AF637" s="34">
        <v>0.0</v>
      </c>
      <c r="AG637" s="34" t="s">
        <v>252</v>
      </c>
      <c r="AH637" s="34" t="s">
        <v>971</v>
      </c>
    </row>
    <row r="638">
      <c r="AE638" s="34" t="s">
        <v>674</v>
      </c>
      <c r="AF638" s="34">
        <v>0.0</v>
      </c>
      <c r="AG638" s="34" t="s">
        <v>252</v>
      </c>
      <c r="AH638" s="34" t="s">
        <v>971</v>
      </c>
    </row>
    <row r="639">
      <c r="AE639" s="34" t="s">
        <v>674</v>
      </c>
      <c r="AF639" s="34">
        <v>0.0</v>
      </c>
      <c r="AG639" s="34" t="s">
        <v>252</v>
      </c>
      <c r="AH639" s="34" t="s">
        <v>971</v>
      </c>
    </row>
    <row r="640">
      <c r="AE640" s="34" t="s">
        <v>674</v>
      </c>
      <c r="AF640" s="34">
        <v>0.0</v>
      </c>
      <c r="AG640" s="34" t="s">
        <v>252</v>
      </c>
      <c r="AH640" s="34" t="s">
        <v>971</v>
      </c>
    </row>
    <row r="641">
      <c r="AE641" s="34" t="s">
        <v>674</v>
      </c>
      <c r="AF641" s="34">
        <v>0.0</v>
      </c>
      <c r="AG641" s="34" t="s">
        <v>252</v>
      </c>
      <c r="AH641" s="34" t="s">
        <v>971</v>
      </c>
    </row>
    <row r="642">
      <c r="AE642" s="34" t="s">
        <v>674</v>
      </c>
      <c r="AF642" s="34">
        <v>0.0</v>
      </c>
      <c r="AG642" s="34" t="s">
        <v>252</v>
      </c>
      <c r="AH642" s="34" t="s">
        <v>971</v>
      </c>
    </row>
    <row r="643">
      <c r="AE643" s="34" t="s">
        <v>674</v>
      </c>
      <c r="AF643" s="34">
        <v>0.0</v>
      </c>
      <c r="AG643" s="34" t="s">
        <v>252</v>
      </c>
      <c r="AH643" s="34" t="s">
        <v>971</v>
      </c>
    </row>
    <row r="644">
      <c r="AE644" s="34" t="s">
        <v>674</v>
      </c>
      <c r="AF644" s="34">
        <v>0.0</v>
      </c>
      <c r="AG644" s="34" t="s">
        <v>252</v>
      </c>
      <c r="AH644" s="34" t="s">
        <v>971</v>
      </c>
    </row>
    <row r="645">
      <c r="AE645" s="34" t="s">
        <v>674</v>
      </c>
      <c r="AF645" s="34">
        <v>0.0</v>
      </c>
      <c r="AG645" s="34" t="s">
        <v>252</v>
      </c>
      <c r="AH645" s="34" t="s">
        <v>971</v>
      </c>
    </row>
    <row r="646">
      <c r="AE646" s="34" t="s">
        <v>674</v>
      </c>
      <c r="AF646" s="34">
        <v>0.0</v>
      </c>
      <c r="AG646" s="34" t="s">
        <v>252</v>
      </c>
      <c r="AH646" s="34" t="s">
        <v>971</v>
      </c>
    </row>
    <row r="647">
      <c r="AE647" s="34" t="s">
        <v>674</v>
      </c>
      <c r="AF647" s="34">
        <v>0.0</v>
      </c>
      <c r="AG647" s="34" t="s">
        <v>252</v>
      </c>
      <c r="AH647" s="34" t="s">
        <v>971</v>
      </c>
    </row>
    <row r="648">
      <c r="AE648" s="34" t="s">
        <v>674</v>
      </c>
      <c r="AF648" s="34">
        <v>0.0</v>
      </c>
      <c r="AG648" s="34" t="s">
        <v>252</v>
      </c>
      <c r="AH648" s="34" t="s">
        <v>971</v>
      </c>
    </row>
    <row r="649">
      <c r="AE649" s="34" t="s">
        <v>674</v>
      </c>
      <c r="AF649" s="34">
        <v>0.0</v>
      </c>
      <c r="AG649" s="34" t="s">
        <v>252</v>
      </c>
      <c r="AH649" s="34" t="s">
        <v>971</v>
      </c>
    </row>
    <row r="650">
      <c r="AE650" s="34" t="s">
        <v>674</v>
      </c>
      <c r="AF650" s="34">
        <v>0.0</v>
      </c>
      <c r="AG650" s="34" t="s">
        <v>252</v>
      </c>
      <c r="AH650" s="34" t="s">
        <v>971</v>
      </c>
    </row>
    <row r="651">
      <c r="AE651" s="34" t="s">
        <v>674</v>
      </c>
      <c r="AF651" s="34">
        <v>0.0</v>
      </c>
      <c r="AG651" s="34" t="s">
        <v>252</v>
      </c>
      <c r="AH651" s="34" t="s">
        <v>971</v>
      </c>
    </row>
    <row r="652">
      <c r="AE652" s="34" t="s">
        <v>674</v>
      </c>
      <c r="AF652" s="34">
        <v>0.0</v>
      </c>
      <c r="AG652" s="34" t="s">
        <v>252</v>
      </c>
      <c r="AH652" s="34" t="s">
        <v>971</v>
      </c>
    </row>
    <row r="653">
      <c r="AE653" s="34" t="s">
        <v>674</v>
      </c>
      <c r="AF653" s="34">
        <v>0.0</v>
      </c>
      <c r="AG653" s="34" t="s">
        <v>252</v>
      </c>
      <c r="AH653" s="34" t="s">
        <v>971</v>
      </c>
    </row>
    <row r="654">
      <c r="AE654" s="34" t="s">
        <v>674</v>
      </c>
      <c r="AF654" s="34">
        <v>0.0</v>
      </c>
      <c r="AG654" s="34" t="s">
        <v>252</v>
      </c>
      <c r="AH654" s="34" t="s">
        <v>971</v>
      </c>
    </row>
    <row r="655">
      <c r="AE655" s="34" t="s">
        <v>674</v>
      </c>
      <c r="AF655" s="34">
        <v>0.0</v>
      </c>
      <c r="AG655" s="34" t="s">
        <v>252</v>
      </c>
      <c r="AH655" s="34" t="s">
        <v>971</v>
      </c>
    </row>
    <row r="656">
      <c r="AE656" s="34" t="s">
        <v>674</v>
      </c>
      <c r="AF656" s="34">
        <v>0.0</v>
      </c>
      <c r="AG656" s="34" t="s">
        <v>252</v>
      </c>
      <c r="AH656" s="34" t="s">
        <v>971</v>
      </c>
    </row>
    <row r="657">
      <c r="AE657" s="34" t="s">
        <v>674</v>
      </c>
      <c r="AF657" s="34">
        <v>0.0</v>
      </c>
      <c r="AG657" s="34" t="s">
        <v>252</v>
      </c>
      <c r="AH657" s="34" t="s">
        <v>971</v>
      </c>
    </row>
    <row r="658">
      <c r="AE658" s="34" t="s">
        <v>674</v>
      </c>
      <c r="AF658" s="34">
        <v>0.0</v>
      </c>
      <c r="AG658" s="34" t="s">
        <v>252</v>
      </c>
      <c r="AH658" s="34" t="s">
        <v>971</v>
      </c>
    </row>
    <row r="659">
      <c r="AE659" s="34" t="s">
        <v>674</v>
      </c>
      <c r="AF659" s="34">
        <v>0.0</v>
      </c>
      <c r="AG659" s="34" t="s">
        <v>252</v>
      </c>
      <c r="AH659" s="34" t="s">
        <v>971</v>
      </c>
    </row>
    <row r="660">
      <c r="AE660" s="34" t="s">
        <v>674</v>
      </c>
      <c r="AF660" s="34">
        <v>0.0</v>
      </c>
      <c r="AG660" s="34" t="s">
        <v>252</v>
      </c>
      <c r="AH660" s="34" t="s">
        <v>971</v>
      </c>
    </row>
    <row r="661">
      <c r="AE661" s="34" t="s">
        <v>674</v>
      </c>
      <c r="AF661" s="34">
        <v>0.0</v>
      </c>
      <c r="AG661" s="34" t="s">
        <v>252</v>
      </c>
      <c r="AH661" s="34" t="s">
        <v>971</v>
      </c>
    </row>
    <row r="662">
      <c r="AE662" s="34" t="s">
        <v>674</v>
      </c>
      <c r="AF662" s="34">
        <v>0.0</v>
      </c>
      <c r="AG662" s="34" t="s">
        <v>252</v>
      </c>
      <c r="AH662" s="34" t="s">
        <v>971</v>
      </c>
    </row>
    <row r="663">
      <c r="AE663" s="34" t="s">
        <v>674</v>
      </c>
      <c r="AF663" s="34">
        <v>0.0</v>
      </c>
      <c r="AG663" s="34" t="s">
        <v>252</v>
      </c>
      <c r="AH663" s="34" t="s">
        <v>971</v>
      </c>
    </row>
    <row r="664">
      <c r="AE664" s="34" t="s">
        <v>674</v>
      </c>
      <c r="AF664" s="34">
        <v>0.0</v>
      </c>
      <c r="AG664" s="34" t="s">
        <v>252</v>
      </c>
      <c r="AH664" s="34" t="s">
        <v>971</v>
      </c>
    </row>
    <row r="665">
      <c r="AE665" s="34" t="s">
        <v>674</v>
      </c>
      <c r="AF665" s="34">
        <v>0.0</v>
      </c>
      <c r="AG665" s="34" t="s">
        <v>252</v>
      </c>
      <c r="AH665" s="34" t="s">
        <v>971</v>
      </c>
    </row>
    <row r="666">
      <c r="AE666" s="34" t="s">
        <v>674</v>
      </c>
      <c r="AF666" s="34">
        <v>0.0</v>
      </c>
      <c r="AG666" s="34" t="s">
        <v>252</v>
      </c>
      <c r="AH666" s="34" t="s">
        <v>971</v>
      </c>
    </row>
    <row r="667">
      <c r="AE667" s="34" t="s">
        <v>674</v>
      </c>
      <c r="AF667" s="34">
        <v>0.0</v>
      </c>
      <c r="AG667" s="34" t="s">
        <v>252</v>
      </c>
      <c r="AH667" s="34" t="s">
        <v>971</v>
      </c>
    </row>
    <row r="668">
      <c r="AE668" s="34" t="s">
        <v>674</v>
      </c>
      <c r="AF668" s="34">
        <v>0.0</v>
      </c>
      <c r="AG668" s="34" t="s">
        <v>252</v>
      </c>
      <c r="AH668" s="34" t="s">
        <v>971</v>
      </c>
    </row>
    <row r="669">
      <c r="AE669" s="34" t="s">
        <v>674</v>
      </c>
      <c r="AF669" s="34">
        <v>0.0</v>
      </c>
      <c r="AG669" s="34" t="s">
        <v>252</v>
      </c>
      <c r="AH669" s="34" t="s">
        <v>971</v>
      </c>
    </row>
    <row r="670">
      <c r="AE670" s="34" t="s">
        <v>674</v>
      </c>
      <c r="AF670" s="34">
        <v>0.0</v>
      </c>
      <c r="AG670" s="34" t="s">
        <v>252</v>
      </c>
      <c r="AH670" s="34" t="s">
        <v>971</v>
      </c>
    </row>
    <row r="671">
      <c r="AE671" s="34" t="s">
        <v>674</v>
      </c>
      <c r="AF671" s="34">
        <v>0.0</v>
      </c>
      <c r="AG671" s="34" t="s">
        <v>252</v>
      </c>
      <c r="AH671" s="34" t="s">
        <v>971</v>
      </c>
    </row>
    <row r="672">
      <c r="AE672" s="34" t="s">
        <v>674</v>
      </c>
      <c r="AF672" s="34">
        <v>0.0</v>
      </c>
      <c r="AG672" s="34" t="s">
        <v>252</v>
      </c>
      <c r="AH672" s="34" t="s">
        <v>971</v>
      </c>
    </row>
    <row r="673">
      <c r="AE673" s="34" t="s">
        <v>674</v>
      </c>
      <c r="AF673" s="34">
        <v>0.0</v>
      </c>
      <c r="AG673" s="34" t="s">
        <v>252</v>
      </c>
      <c r="AH673" s="34" t="s">
        <v>971</v>
      </c>
    </row>
    <row r="674">
      <c r="AE674" s="34" t="s">
        <v>674</v>
      </c>
      <c r="AF674" s="34">
        <v>0.0</v>
      </c>
      <c r="AG674" s="34" t="s">
        <v>252</v>
      </c>
      <c r="AH674" s="34" t="s">
        <v>971</v>
      </c>
    </row>
    <row r="675">
      <c r="AE675" s="34" t="s">
        <v>674</v>
      </c>
      <c r="AF675" s="34">
        <v>0.0</v>
      </c>
      <c r="AG675" s="34" t="s">
        <v>252</v>
      </c>
      <c r="AH675" s="34" t="s">
        <v>971</v>
      </c>
    </row>
    <row r="676">
      <c r="AE676" s="34" t="s">
        <v>674</v>
      </c>
      <c r="AF676" s="34">
        <v>0.0</v>
      </c>
      <c r="AG676" s="34" t="s">
        <v>252</v>
      </c>
      <c r="AH676" s="34" t="s">
        <v>971</v>
      </c>
    </row>
    <row r="677">
      <c r="AE677" s="34" t="s">
        <v>674</v>
      </c>
      <c r="AF677" s="34">
        <v>0.0</v>
      </c>
      <c r="AG677" s="34" t="s">
        <v>252</v>
      </c>
      <c r="AH677" s="34" t="s">
        <v>971</v>
      </c>
    </row>
    <row r="678">
      <c r="AE678" s="34" t="s">
        <v>674</v>
      </c>
      <c r="AF678" s="34">
        <v>0.0</v>
      </c>
      <c r="AG678" s="34" t="s">
        <v>252</v>
      </c>
      <c r="AH678" s="34" t="s">
        <v>971</v>
      </c>
    </row>
    <row r="679">
      <c r="AE679" s="34" t="s">
        <v>674</v>
      </c>
      <c r="AF679" s="34">
        <v>0.0</v>
      </c>
      <c r="AG679" s="34" t="s">
        <v>252</v>
      </c>
      <c r="AH679" s="34" t="s">
        <v>971</v>
      </c>
    </row>
    <row r="680">
      <c r="AE680" s="34" t="s">
        <v>674</v>
      </c>
      <c r="AF680" s="34">
        <v>0.0</v>
      </c>
      <c r="AG680" s="34" t="s">
        <v>252</v>
      </c>
      <c r="AH680" s="34" t="s">
        <v>971</v>
      </c>
    </row>
    <row r="681">
      <c r="AE681" s="34" t="s">
        <v>674</v>
      </c>
      <c r="AF681" s="34">
        <v>0.0</v>
      </c>
      <c r="AG681" s="34" t="s">
        <v>252</v>
      </c>
      <c r="AH681" s="34" t="s">
        <v>971</v>
      </c>
    </row>
    <row r="682">
      <c r="AE682" s="34" t="s">
        <v>674</v>
      </c>
      <c r="AF682" s="34">
        <v>0.0</v>
      </c>
      <c r="AG682" s="34" t="s">
        <v>252</v>
      </c>
      <c r="AH682" s="34" t="s">
        <v>971</v>
      </c>
    </row>
    <row r="683">
      <c r="AE683" s="34" t="s">
        <v>674</v>
      </c>
      <c r="AF683" s="34">
        <v>0.0</v>
      </c>
      <c r="AG683" s="34" t="s">
        <v>252</v>
      </c>
      <c r="AH683" s="34" t="s">
        <v>971</v>
      </c>
    </row>
    <row r="684">
      <c r="AE684" s="34" t="s">
        <v>674</v>
      </c>
      <c r="AF684" s="34">
        <v>0.0</v>
      </c>
      <c r="AG684" s="34" t="s">
        <v>252</v>
      </c>
      <c r="AH684" s="34" t="s">
        <v>971</v>
      </c>
    </row>
    <row r="685">
      <c r="AE685" s="34" t="s">
        <v>674</v>
      </c>
      <c r="AF685" s="34">
        <v>0.0</v>
      </c>
      <c r="AG685" s="34" t="s">
        <v>252</v>
      </c>
      <c r="AH685" s="34" t="s">
        <v>971</v>
      </c>
    </row>
    <row r="686">
      <c r="AE686" s="34" t="s">
        <v>674</v>
      </c>
      <c r="AF686" s="34">
        <v>0.0</v>
      </c>
      <c r="AG686" s="34" t="s">
        <v>252</v>
      </c>
      <c r="AH686" s="34" t="s">
        <v>971</v>
      </c>
    </row>
    <row r="687">
      <c r="AE687" s="34" t="s">
        <v>674</v>
      </c>
      <c r="AF687" s="34">
        <v>0.0</v>
      </c>
      <c r="AG687" s="34" t="s">
        <v>252</v>
      </c>
      <c r="AH687" s="34" t="s">
        <v>971</v>
      </c>
    </row>
    <row r="688">
      <c r="AE688" s="34" t="s">
        <v>674</v>
      </c>
      <c r="AF688" s="34">
        <v>0.0</v>
      </c>
      <c r="AG688" s="34" t="s">
        <v>252</v>
      </c>
      <c r="AH688" s="34" t="s">
        <v>971</v>
      </c>
    </row>
    <row r="689">
      <c r="AE689" s="34" t="s">
        <v>674</v>
      </c>
      <c r="AF689" s="34">
        <v>0.0</v>
      </c>
      <c r="AG689" s="34" t="s">
        <v>252</v>
      </c>
      <c r="AH689" s="34" t="s">
        <v>971</v>
      </c>
    </row>
    <row r="690">
      <c r="AE690" s="34" t="s">
        <v>674</v>
      </c>
      <c r="AF690" s="34">
        <v>0.0</v>
      </c>
      <c r="AG690" s="34" t="s">
        <v>252</v>
      </c>
      <c r="AH690" s="34" t="s">
        <v>971</v>
      </c>
    </row>
    <row r="691">
      <c r="AE691" s="34" t="s">
        <v>674</v>
      </c>
      <c r="AF691" s="34">
        <v>0.0</v>
      </c>
      <c r="AG691" s="34" t="s">
        <v>252</v>
      </c>
      <c r="AH691" s="34" t="s">
        <v>971</v>
      </c>
    </row>
    <row r="692">
      <c r="AE692" s="34" t="s">
        <v>674</v>
      </c>
      <c r="AF692" s="34">
        <v>0.0</v>
      </c>
      <c r="AG692" s="34" t="s">
        <v>252</v>
      </c>
      <c r="AH692" s="34" t="s">
        <v>971</v>
      </c>
    </row>
    <row r="693">
      <c r="AE693" s="34" t="s">
        <v>674</v>
      </c>
      <c r="AF693" s="34">
        <v>0.0</v>
      </c>
      <c r="AG693" s="34" t="s">
        <v>252</v>
      </c>
      <c r="AH693" s="34" t="s">
        <v>971</v>
      </c>
    </row>
    <row r="694">
      <c r="AE694" s="34" t="s">
        <v>674</v>
      </c>
      <c r="AF694" s="34">
        <v>0.0</v>
      </c>
      <c r="AG694" s="34" t="s">
        <v>252</v>
      </c>
      <c r="AH694" s="34" t="s">
        <v>971</v>
      </c>
    </row>
    <row r="695">
      <c r="AE695" s="34" t="s">
        <v>674</v>
      </c>
      <c r="AF695" s="34">
        <v>0.0</v>
      </c>
      <c r="AG695" s="34" t="s">
        <v>252</v>
      </c>
      <c r="AH695" s="34" t="s">
        <v>971</v>
      </c>
    </row>
    <row r="696">
      <c r="AE696" s="34" t="s">
        <v>674</v>
      </c>
      <c r="AF696" s="34">
        <v>0.0</v>
      </c>
      <c r="AG696" s="34" t="s">
        <v>252</v>
      </c>
      <c r="AH696" s="34" t="s">
        <v>971</v>
      </c>
    </row>
    <row r="697">
      <c r="AE697" s="34" t="s">
        <v>674</v>
      </c>
      <c r="AF697" s="34">
        <v>0.0</v>
      </c>
      <c r="AG697" s="34" t="s">
        <v>252</v>
      </c>
      <c r="AH697" s="34" t="s">
        <v>971</v>
      </c>
    </row>
    <row r="698">
      <c r="AE698" s="34" t="s">
        <v>674</v>
      </c>
      <c r="AF698" s="34">
        <v>0.0</v>
      </c>
      <c r="AG698" s="34" t="s">
        <v>252</v>
      </c>
      <c r="AH698" s="34" t="s">
        <v>971</v>
      </c>
    </row>
    <row r="699">
      <c r="AE699" s="34" t="s">
        <v>674</v>
      </c>
      <c r="AF699" s="34">
        <v>0.0</v>
      </c>
      <c r="AG699" s="34" t="s">
        <v>252</v>
      </c>
      <c r="AH699" s="34" t="s">
        <v>971</v>
      </c>
    </row>
    <row r="700">
      <c r="AE700" s="34" t="s">
        <v>674</v>
      </c>
      <c r="AF700" s="34">
        <v>0.0</v>
      </c>
      <c r="AG700" s="34" t="s">
        <v>252</v>
      </c>
      <c r="AH700" s="34" t="s">
        <v>971</v>
      </c>
    </row>
    <row r="701">
      <c r="AE701" s="34" t="s">
        <v>674</v>
      </c>
      <c r="AF701" s="34">
        <v>0.0</v>
      </c>
      <c r="AG701" s="34" t="s">
        <v>252</v>
      </c>
      <c r="AH701" s="34" t="s">
        <v>971</v>
      </c>
    </row>
    <row r="702">
      <c r="AE702" s="34" t="s">
        <v>674</v>
      </c>
      <c r="AF702" s="34">
        <v>0.0</v>
      </c>
      <c r="AG702" s="34" t="s">
        <v>252</v>
      </c>
      <c r="AH702" s="34" t="s">
        <v>971</v>
      </c>
    </row>
    <row r="703">
      <c r="AE703" s="34" t="s">
        <v>674</v>
      </c>
      <c r="AF703" s="34">
        <v>0.0</v>
      </c>
      <c r="AG703" s="34" t="s">
        <v>252</v>
      </c>
      <c r="AH703" s="34" t="s">
        <v>971</v>
      </c>
    </row>
    <row r="704">
      <c r="AE704" s="34" t="s">
        <v>674</v>
      </c>
      <c r="AF704" s="34">
        <v>0.0</v>
      </c>
      <c r="AG704" s="34" t="s">
        <v>252</v>
      </c>
      <c r="AH704" s="34" t="s">
        <v>971</v>
      </c>
    </row>
    <row r="705">
      <c r="AE705" s="34" t="s">
        <v>674</v>
      </c>
      <c r="AF705" s="34">
        <v>0.0</v>
      </c>
      <c r="AG705" s="34" t="s">
        <v>252</v>
      </c>
      <c r="AH705" s="34" t="s">
        <v>971</v>
      </c>
    </row>
    <row r="706">
      <c r="AE706" s="34" t="s">
        <v>674</v>
      </c>
      <c r="AF706" s="34">
        <v>0.0</v>
      </c>
      <c r="AG706" s="34" t="s">
        <v>252</v>
      </c>
      <c r="AH706" s="34" t="s">
        <v>971</v>
      </c>
    </row>
    <row r="707">
      <c r="AE707" s="34" t="s">
        <v>674</v>
      </c>
      <c r="AF707" s="34">
        <v>0.0</v>
      </c>
      <c r="AG707" s="34" t="s">
        <v>252</v>
      </c>
      <c r="AH707" s="34" t="s">
        <v>971</v>
      </c>
    </row>
    <row r="708">
      <c r="AE708" s="34" t="s">
        <v>674</v>
      </c>
      <c r="AF708" s="34">
        <v>0.0</v>
      </c>
      <c r="AG708" s="34" t="s">
        <v>252</v>
      </c>
      <c r="AH708" s="34" t="s">
        <v>971</v>
      </c>
    </row>
    <row r="709">
      <c r="AE709" s="34" t="s">
        <v>674</v>
      </c>
      <c r="AF709" s="34">
        <v>0.0</v>
      </c>
      <c r="AG709" s="34" t="s">
        <v>252</v>
      </c>
      <c r="AH709" s="34" t="s">
        <v>971</v>
      </c>
    </row>
    <row r="710">
      <c r="AE710" s="34" t="s">
        <v>674</v>
      </c>
      <c r="AF710" s="34">
        <v>0.0</v>
      </c>
      <c r="AG710" s="34" t="s">
        <v>252</v>
      </c>
      <c r="AH710" s="34" t="s">
        <v>971</v>
      </c>
    </row>
    <row r="711">
      <c r="AE711" s="34" t="s">
        <v>674</v>
      </c>
      <c r="AF711" s="34">
        <v>0.0</v>
      </c>
      <c r="AG711" s="34" t="s">
        <v>252</v>
      </c>
      <c r="AH711" s="34" t="s">
        <v>971</v>
      </c>
    </row>
    <row r="712">
      <c r="AE712" s="34" t="s">
        <v>674</v>
      </c>
      <c r="AF712" s="34">
        <v>0.0</v>
      </c>
      <c r="AG712" s="34" t="s">
        <v>252</v>
      </c>
      <c r="AH712" s="34" t="s">
        <v>971</v>
      </c>
    </row>
    <row r="713">
      <c r="AE713" s="34" t="s">
        <v>674</v>
      </c>
      <c r="AF713" s="34">
        <v>0.0</v>
      </c>
      <c r="AG713" s="34" t="s">
        <v>252</v>
      </c>
      <c r="AH713" s="34" t="s">
        <v>971</v>
      </c>
    </row>
    <row r="714">
      <c r="AE714" s="34" t="s">
        <v>674</v>
      </c>
      <c r="AF714" s="34">
        <v>0.0</v>
      </c>
      <c r="AG714" s="34" t="s">
        <v>252</v>
      </c>
      <c r="AH714" s="34" t="s">
        <v>971</v>
      </c>
    </row>
    <row r="715">
      <c r="AE715" s="34" t="s">
        <v>674</v>
      </c>
      <c r="AF715" s="34">
        <v>0.0</v>
      </c>
      <c r="AG715" s="34" t="s">
        <v>252</v>
      </c>
      <c r="AH715" s="34" t="s">
        <v>971</v>
      </c>
    </row>
    <row r="716">
      <c r="AE716" s="34" t="s">
        <v>674</v>
      </c>
      <c r="AF716" s="34">
        <v>0.0</v>
      </c>
      <c r="AG716" s="34" t="s">
        <v>252</v>
      </c>
      <c r="AH716" s="34" t="s">
        <v>971</v>
      </c>
    </row>
    <row r="717">
      <c r="AE717" s="34" t="s">
        <v>674</v>
      </c>
      <c r="AF717" s="34">
        <v>0.0</v>
      </c>
      <c r="AG717" s="34" t="s">
        <v>252</v>
      </c>
      <c r="AH717" s="34" t="s">
        <v>971</v>
      </c>
    </row>
    <row r="718">
      <c r="AE718" s="34" t="s">
        <v>674</v>
      </c>
      <c r="AF718" s="34">
        <v>0.0</v>
      </c>
      <c r="AG718" s="34" t="s">
        <v>252</v>
      </c>
      <c r="AH718" s="34" t="s">
        <v>971</v>
      </c>
    </row>
    <row r="719">
      <c r="AE719" s="34" t="s">
        <v>674</v>
      </c>
      <c r="AF719" s="34">
        <v>0.0</v>
      </c>
      <c r="AG719" s="34" t="s">
        <v>252</v>
      </c>
      <c r="AH719" s="34" t="s">
        <v>971</v>
      </c>
    </row>
    <row r="720">
      <c r="AE720" s="34" t="s">
        <v>674</v>
      </c>
      <c r="AF720" s="34">
        <v>0.0</v>
      </c>
      <c r="AG720" s="34" t="s">
        <v>252</v>
      </c>
      <c r="AH720" s="34" t="s">
        <v>971</v>
      </c>
    </row>
    <row r="721">
      <c r="AE721" s="34" t="s">
        <v>674</v>
      </c>
      <c r="AF721" s="34">
        <v>0.0</v>
      </c>
      <c r="AG721" s="34" t="s">
        <v>252</v>
      </c>
      <c r="AH721" s="34" t="s">
        <v>971</v>
      </c>
    </row>
    <row r="722">
      <c r="AE722" s="34" t="s">
        <v>674</v>
      </c>
      <c r="AF722" s="34">
        <v>0.0</v>
      </c>
      <c r="AG722" s="34" t="s">
        <v>252</v>
      </c>
      <c r="AH722" s="34" t="s">
        <v>971</v>
      </c>
    </row>
    <row r="723">
      <c r="AE723" s="34" t="s">
        <v>674</v>
      </c>
      <c r="AF723" s="34">
        <v>0.0</v>
      </c>
      <c r="AG723" s="34" t="s">
        <v>252</v>
      </c>
      <c r="AH723" s="34" t="s">
        <v>971</v>
      </c>
    </row>
    <row r="724">
      <c r="AE724" s="34" t="s">
        <v>674</v>
      </c>
      <c r="AF724" s="34">
        <v>0.0</v>
      </c>
      <c r="AG724" s="34" t="s">
        <v>252</v>
      </c>
      <c r="AH724" s="34" t="s">
        <v>971</v>
      </c>
    </row>
    <row r="725">
      <c r="AE725" s="34" t="s">
        <v>674</v>
      </c>
      <c r="AF725" s="34">
        <v>0.0</v>
      </c>
      <c r="AG725" s="34" t="s">
        <v>252</v>
      </c>
      <c r="AH725" s="34" t="s">
        <v>971</v>
      </c>
    </row>
    <row r="726">
      <c r="AE726" s="34" t="s">
        <v>674</v>
      </c>
      <c r="AF726" s="34">
        <v>0.0</v>
      </c>
      <c r="AG726" s="34" t="s">
        <v>252</v>
      </c>
      <c r="AH726" s="34" t="s">
        <v>971</v>
      </c>
    </row>
    <row r="727">
      <c r="AE727" s="34" t="s">
        <v>674</v>
      </c>
      <c r="AF727" s="34">
        <v>0.0</v>
      </c>
      <c r="AG727" s="34" t="s">
        <v>252</v>
      </c>
      <c r="AH727" s="34" t="s">
        <v>971</v>
      </c>
    </row>
    <row r="728">
      <c r="AE728" s="34" t="s">
        <v>674</v>
      </c>
      <c r="AF728" s="34">
        <v>0.0</v>
      </c>
      <c r="AG728" s="34" t="s">
        <v>252</v>
      </c>
      <c r="AH728" s="34" t="s">
        <v>971</v>
      </c>
    </row>
    <row r="729">
      <c r="AE729" s="34" t="s">
        <v>674</v>
      </c>
      <c r="AF729" s="34">
        <v>0.0</v>
      </c>
      <c r="AG729" s="34" t="s">
        <v>252</v>
      </c>
      <c r="AH729" s="34" t="s">
        <v>971</v>
      </c>
    </row>
    <row r="730">
      <c r="AE730" s="34" t="s">
        <v>674</v>
      </c>
      <c r="AF730" s="34">
        <v>0.0</v>
      </c>
      <c r="AG730" s="34" t="s">
        <v>252</v>
      </c>
      <c r="AH730" s="34" t="s">
        <v>971</v>
      </c>
    </row>
    <row r="731">
      <c r="AE731" s="34" t="s">
        <v>674</v>
      </c>
      <c r="AF731" s="34">
        <v>0.0</v>
      </c>
      <c r="AG731" s="34" t="s">
        <v>252</v>
      </c>
      <c r="AH731" s="34" t="s">
        <v>971</v>
      </c>
    </row>
    <row r="732">
      <c r="AE732" s="34" t="s">
        <v>674</v>
      </c>
      <c r="AF732" s="34">
        <v>0.0</v>
      </c>
      <c r="AG732" s="34" t="s">
        <v>252</v>
      </c>
      <c r="AH732" s="34" t="s">
        <v>971</v>
      </c>
    </row>
    <row r="733">
      <c r="AE733" s="34" t="s">
        <v>674</v>
      </c>
      <c r="AF733" s="34">
        <v>0.0</v>
      </c>
      <c r="AG733" s="34" t="s">
        <v>252</v>
      </c>
      <c r="AH733" s="34" t="s">
        <v>971</v>
      </c>
    </row>
    <row r="734">
      <c r="AE734" s="34" t="s">
        <v>674</v>
      </c>
      <c r="AF734" s="34">
        <v>0.0</v>
      </c>
      <c r="AG734" s="34" t="s">
        <v>252</v>
      </c>
      <c r="AH734" s="34" t="s">
        <v>971</v>
      </c>
    </row>
    <row r="735">
      <c r="AE735" s="34" t="s">
        <v>674</v>
      </c>
      <c r="AF735" s="34">
        <v>0.0</v>
      </c>
      <c r="AG735" s="34" t="s">
        <v>252</v>
      </c>
      <c r="AH735" s="34" t="s">
        <v>971</v>
      </c>
    </row>
    <row r="736">
      <c r="AE736" s="34" t="s">
        <v>674</v>
      </c>
      <c r="AF736" s="34">
        <v>0.0</v>
      </c>
      <c r="AG736" s="34" t="s">
        <v>252</v>
      </c>
      <c r="AH736" s="34" t="s">
        <v>971</v>
      </c>
    </row>
    <row r="737">
      <c r="AE737" s="34" t="s">
        <v>674</v>
      </c>
      <c r="AF737" s="34">
        <v>0.0</v>
      </c>
      <c r="AG737" s="34" t="s">
        <v>252</v>
      </c>
      <c r="AH737" s="34" t="s">
        <v>971</v>
      </c>
    </row>
    <row r="738">
      <c r="AE738" s="34" t="s">
        <v>674</v>
      </c>
      <c r="AF738" s="34">
        <v>0.0</v>
      </c>
      <c r="AG738" s="34" t="s">
        <v>252</v>
      </c>
      <c r="AH738" s="34" t="s">
        <v>971</v>
      </c>
    </row>
    <row r="739">
      <c r="AE739" s="34" t="s">
        <v>674</v>
      </c>
      <c r="AF739" s="34">
        <v>0.0</v>
      </c>
      <c r="AG739" s="34" t="s">
        <v>252</v>
      </c>
      <c r="AH739" s="34" t="s">
        <v>971</v>
      </c>
    </row>
    <row r="740">
      <c r="AE740" s="34" t="s">
        <v>674</v>
      </c>
      <c r="AF740" s="34">
        <v>0.0</v>
      </c>
      <c r="AG740" s="34" t="s">
        <v>252</v>
      </c>
      <c r="AH740" s="34" t="s">
        <v>971</v>
      </c>
    </row>
    <row r="741">
      <c r="AE741" s="34" t="s">
        <v>674</v>
      </c>
      <c r="AF741" s="34">
        <v>0.0</v>
      </c>
      <c r="AG741" s="34" t="s">
        <v>252</v>
      </c>
      <c r="AH741" s="34" t="s">
        <v>971</v>
      </c>
    </row>
    <row r="742">
      <c r="AE742" s="34" t="s">
        <v>674</v>
      </c>
      <c r="AF742" s="34">
        <v>0.0</v>
      </c>
      <c r="AG742" s="34" t="s">
        <v>252</v>
      </c>
      <c r="AH742" s="34" t="s">
        <v>971</v>
      </c>
    </row>
    <row r="743">
      <c r="AE743" s="34" t="s">
        <v>674</v>
      </c>
      <c r="AF743" s="34">
        <v>0.0</v>
      </c>
      <c r="AG743" s="34" t="s">
        <v>252</v>
      </c>
      <c r="AH743" s="34" t="s">
        <v>971</v>
      </c>
    </row>
    <row r="744">
      <c r="AE744" s="34" t="s">
        <v>674</v>
      </c>
      <c r="AF744" s="34">
        <v>0.0</v>
      </c>
      <c r="AG744" s="34" t="s">
        <v>252</v>
      </c>
      <c r="AH744" s="34" t="s">
        <v>971</v>
      </c>
    </row>
    <row r="745">
      <c r="AE745" s="34" t="s">
        <v>674</v>
      </c>
      <c r="AF745" s="34">
        <v>0.0</v>
      </c>
      <c r="AG745" s="34" t="s">
        <v>252</v>
      </c>
      <c r="AH745" s="34" t="s">
        <v>971</v>
      </c>
    </row>
    <row r="746">
      <c r="AE746" s="34" t="s">
        <v>674</v>
      </c>
      <c r="AF746" s="34">
        <v>0.0</v>
      </c>
      <c r="AG746" s="34" t="s">
        <v>252</v>
      </c>
      <c r="AH746" s="34" t="s">
        <v>971</v>
      </c>
    </row>
    <row r="747">
      <c r="AE747" s="34" t="s">
        <v>674</v>
      </c>
      <c r="AF747" s="34">
        <v>0.0</v>
      </c>
      <c r="AG747" s="34" t="s">
        <v>252</v>
      </c>
      <c r="AH747" s="34" t="s">
        <v>971</v>
      </c>
    </row>
    <row r="748">
      <c r="AE748" s="34" t="s">
        <v>674</v>
      </c>
      <c r="AF748" s="34">
        <v>0.0</v>
      </c>
      <c r="AG748" s="34" t="s">
        <v>252</v>
      </c>
      <c r="AH748" s="34" t="s">
        <v>971</v>
      </c>
    </row>
    <row r="749">
      <c r="AE749" s="34" t="s">
        <v>674</v>
      </c>
      <c r="AF749" s="34">
        <v>0.0</v>
      </c>
      <c r="AG749" s="34" t="s">
        <v>252</v>
      </c>
      <c r="AH749" s="34" t="s">
        <v>971</v>
      </c>
    </row>
    <row r="750">
      <c r="AE750" s="34" t="s">
        <v>674</v>
      </c>
      <c r="AF750" s="34">
        <v>0.0</v>
      </c>
      <c r="AG750" s="34" t="s">
        <v>252</v>
      </c>
      <c r="AH750" s="34" t="s">
        <v>971</v>
      </c>
    </row>
    <row r="751">
      <c r="AE751" s="34" t="s">
        <v>674</v>
      </c>
      <c r="AF751" s="34">
        <v>0.0</v>
      </c>
      <c r="AG751" s="34" t="s">
        <v>252</v>
      </c>
      <c r="AH751" s="34" t="s">
        <v>971</v>
      </c>
    </row>
    <row r="752">
      <c r="AE752" s="34" t="s">
        <v>674</v>
      </c>
      <c r="AF752" s="34">
        <v>0.0</v>
      </c>
      <c r="AG752" s="34" t="s">
        <v>252</v>
      </c>
      <c r="AH752" s="34" t="s">
        <v>971</v>
      </c>
    </row>
    <row r="753">
      <c r="AE753" s="34" t="s">
        <v>674</v>
      </c>
      <c r="AF753" s="34">
        <v>0.0</v>
      </c>
      <c r="AG753" s="34" t="s">
        <v>252</v>
      </c>
      <c r="AH753" s="34" t="s">
        <v>971</v>
      </c>
    </row>
    <row r="754">
      <c r="AE754" s="34" t="s">
        <v>674</v>
      </c>
      <c r="AF754" s="34">
        <v>0.0</v>
      </c>
      <c r="AG754" s="34" t="s">
        <v>252</v>
      </c>
      <c r="AH754" s="34" t="s">
        <v>971</v>
      </c>
    </row>
    <row r="755">
      <c r="AE755" s="34" t="s">
        <v>674</v>
      </c>
      <c r="AF755" s="34">
        <v>0.0</v>
      </c>
      <c r="AG755" s="34" t="s">
        <v>252</v>
      </c>
      <c r="AH755" s="34" t="s">
        <v>971</v>
      </c>
    </row>
    <row r="756">
      <c r="AE756" s="34" t="s">
        <v>674</v>
      </c>
      <c r="AF756" s="34">
        <v>0.0</v>
      </c>
      <c r="AG756" s="34" t="s">
        <v>252</v>
      </c>
      <c r="AH756" s="34" t="s">
        <v>971</v>
      </c>
    </row>
    <row r="757">
      <c r="AE757" s="34" t="s">
        <v>674</v>
      </c>
      <c r="AF757" s="34">
        <v>0.0</v>
      </c>
      <c r="AG757" s="34" t="s">
        <v>252</v>
      </c>
      <c r="AH757" s="34" t="s">
        <v>971</v>
      </c>
    </row>
    <row r="758">
      <c r="AE758" s="34" t="s">
        <v>674</v>
      </c>
      <c r="AF758" s="34">
        <v>0.0</v>
      </c>
      <c r="AG758" s="34" t="s">
        <v>252</v>
      </c>
      <c r="AH758" s="34" t="s">
        <v>971</v>
      </c>
    </row>
    <row r="759">
      <c r="AE759" s="34" t="s">
        <v>674</v>
      </c>
      <c r="AF759" s="34">
        <v>0.0</v>
      </c>
      <c r="AG759" s="34" t="s">
        <v>252</v>
      </c>
      <c r="AH759" s="34" t="s">
        <v>971</v>
      </c>
    </row>
    <row r="760">
      <c r="AE760" s="34" t="s">
        <v>674</v>
      </c>
      <c r="AF760" s="34">
        <v>0.0</v>
      </c>
      <c r="AG760" s="34" t="s">
        <v>252</v>
      </c>
      <c r="AH760" s="34" t="s">
        <v>971</v>
      </c>
    </row>
    <row r="761">
      <c r="AE761" s="34" t="s">
        <v>674</v>
      </c>
      <c r="AF761" s="34">
        <v>0.0</v>
      </c>
      <c r="AG761" s="34" t="s">
        <v>252</v>
      </c>
      <c r="AH761" s="34" t="s">
        <v>971</v>
      </c>
    </row>
    <row r="762">
      <c r="AE762" s="34" t="s">
        <v>674</v>
      </c>
      <c r="AF762" s="34">
        <v>0.0</v>
      </c>
      <c r="AG762" s="34" t="s">
        <v>252</v>
      </c>
      <c r="AH762" s="34" t="s">
        <v>971</v>
      </c>
    </row>
    <row r="763">
      <c r="AE763" s="34" t="s">
        <v>674</v>
      </c>
      <c r="AF763" s="34">
        <v>0.0</v>
      </c>
      <c r="AG763" s="34" t="s">
        <v>252</v>
      </c>
      <c r="AH763" s="34" t="s">
        <v>971</v>
      </c>
    </row>
    <row r="764">
      <c r="AE764" s="34" t="s">
        <v>674</v>
      </c>
      <c r="AF764" s="34">
        <v>0.0</v>
      </c>
      <c r="AG764" s="34" t="s">
        <v>252</v>
      </c>
      <c r="AH764" s="34" t="s">
        <v>971</v>
      </c>
    </row>
    <row r="765">
      <c r="AE765" s="34" t="s">
        <v>674</v>
      </c>
      <c r="AF765" s="34">
        <v>0.0</v>
      </c>
      <c r="AG765" s="34" t="s">
        <v>252</v>
      </c>
      <c r="AH765" s="34" t="s">
        <v>971</v>
      </c>
    </row>
    <row r="766">
      <c r="AE766" s="34" t="s">
        <v>674</v>
      </c>
      <c r="AF766" s="34">
        <v>0.0</v>
      </c>
      <c r="AG766" s="34" t="s">
        <v>252</v>
      </c>
      <c r="AH766" s="34" t="s">
        <v>971</v>
      </c>
    </row>
    <row r="767">
      <c r="AE767" s="34" t="s">
        <v>674</v>
      </c>
      <c r="AF767" s="34">
        <v>0.0</v>
      </c>
      <c r="AG767" s="34" t="s">
        <v>252</v>
      </c>
      <c r="AH767" s="34" t="s">
        <v>971</v>
      </c>
    </row>
    <row r="768">
      <c r="AE768" s="34" t="s">
        <v>674</v>
      </c>
      <c r="AF768" s="34">
        <v>0.0</v>
      </c>
      <c r="AG768" s="34" t="s">
        <v>252</v>
      </c>
      <c r="AH768" s="34" t="s">
        <v>971</v>
      </c>
    </row>
    <row r="769">
      <c r="AE769" s="34" t="s">
        <v>674</v>
      </c>
      <c r="AF769" s="34">
        <v>0.0</v>
      </c>
      <c r="AG769" s="34" t="s">
        <v>252</v>
      </c>
      <c r="AH769" s="34" t="s">
        <v>971</v>
      </c>
    </row>
    <row r="770">
      <c r="AE770" s="34" t="s">
        <v>674</v>
      </c>
      <c r="AF770" s="34">
        <v>0.0</v>
      </c>
      <c r="AG770" s="34" t="s">
        <v>252</v>
      </c>
      <c r="AH770" s="34" t="s">
        <v>971</v>
      </c>
    </row>
    <row r="771">
      <c r="AE771" s="34" t="s">
        <v>674</v>
      </c>
      <c r="AF771" s="34">
        <v>0.0</v>
      </c>
      <c r="AG771" s="34" t="s">
        <v>252</v>
      </c>
      <c r="AH771" s="34" t="s">
        <v>971</v>
      </c>
    </row>
    <row r="772">
      <c r="AE772" s="34" t="s">
        <v>674</v>
      </c>
      <c r="AF772" s="34">
        <v>0.0</v>
      </c>
      <c r="AG772" s="34" t="s">
        <v>252</v>
      </c>
      <c r="AH772" s="34" t="s">
        <v>971</v>
      </c>
    </row>
    <row r="773">
      <c r="AE773" s="34" t="s">
        <v>674</v>
      </c>
      <c r="AF773" s="34">
        <v>0.0</v>
      </c>
      <c r="AG773" s="34" t="s">
        <v>252</v>
      </c>
      <c r="AH773" s="34" t="s">
        <v>971</v>
      </c>
    </row>
    <row r="774">
      <c r="AE774" s="34" t="s">
        <v>674</v>
      </c>
      <c r="AF774" s="34">
        <v>0.0</v>
      </c>
      <c r="AG774" s="34" t="s">
        <v>252</v>
      </c>
      <c r="AH774" s="34" t="s">
        <v>971</v>
      </c>
    </row>
    <row r="775">
      <c r="AE775" s="34" t="s">
        <v>674</v>
      </c>
      <c r="AF775" s="34">
        <v>0.0</v>
      </c>
      <c r="AG775" s="34" t="s">
        <v>252</v>
      </c>
      <c r="AH775" s="34" t="s">
        <v>971</v>
      </c>
    </row>
    <row r="776">
      <c r="AE776" s="34" t="s">
        <v>674</v>
      </c>
      <c r="AF776" s="34">
        <v>0.0</v>
      </c>
      <c r="AG776" s="34" t="s">
        <v>252</v>
      </c>
      <c r="AH776" s="34" t="s">
        <v>971</v>
      </c>
    </row>
    <row r="777">
      <c r="AE777" s="34" t="s">
        <v>674</v>
      </c>
      <c r="AF777" s="34">
        <v>0.0</v>
      </c>
      <c r="AG777" s="34" t="s">
        <v>252</v>
      </c>
      <c r="AH777" s="34" t="s">
        <v>971</v>
      </c>
    </row>
    <row r="778">
      <c r="AE778" s="34" t="s">
        <v>674</v>
      </c>
      <c r="AF778" s="34">
        <v>0.0</v>
      </c>
      <c r="AG778" s="34" t="s">
        <v>252</v>
      </c>
      <c r="AH778" s="34" t="s">
        <v>971</v>
      </c>
    </row>
    <row r="779">
      <c r="AE779" s="34" t="s">
        <v>674</v>
      </c>
      <c r="AF779" s="34">
        <v>0.0</v>
      </c>
      <c r="AG779" s="34" t="s">
        <v>252</v>
      </c>
      <c r="AH779" s="34" t="s">
        <v>971</v>
      </c>
    </row>
    <row r="780">
      <c r="AE780" s="34" t="s">
        <v>674</v>
      </c>
      <c r="AF780" s="34">
        <v>0.0</v>
      </c>
      <c r="AG780" s="34" t="s">
        <v>252</v>
      </c>
      <c r="AH780" s="34" t="s">
        <v>971</v>
      </c>
    </row>
    <row r="781">
      <c r="AE781" s="34" t="s">
        <v>674</v>
      </c>
      <c r="AF781" s="34">
        <v>0.0</v>
      </c>
      <c r="AG781" s="34" t="s">
        <v>252</v>
      </c>
      <c r="AH781" s="34" t="s">
        <v>971</v>
      </c>
    </row>
    <row r="782">
      <c r="AE782" s="34" t="s">
        <v>674</v>
      </c>
      <c r="AF782" s="34">
        <v>0.0</v>
      </c>
      <c r="AG782" s="34" t="s">
        <v>252</v>
      </c>
      <c r="AH782" s="34" t="s">
        <v>971</v>
      </c>
    </row>
    <row r="783">
      <c r="AE783" s="34" t="s">
        <v>674</v>
      </c>
      <c r="AF783" s="34">
        <v>0.0</v>
      </c>
      <c r="AG783" s="34" t="s">
        <v>252</v>
      </c>
      <c r="AH783" s="34" t="s">
        <v>971</v>
      </c>
    </row>
    <row r="784">
      <c r="AE784" s="34" t="s">
        <v>674</v>
      </c>
      <c r="AF784" s="34">
        <v>0.0</v>
      </c>
      <c r="AG784" s="34" t="s">
        <v>252</v>
      </c>
      <c r="AH784" s="34" t="s">
        <v>971</v>
      </c>
    </row>
    <row r="785">
      <c r="AE785" s="34" t="s">
        <v>674</v>
      </c>
      <c r="AF785" s="34">
        <v>0.0</v>
      </c>
      <c r="AG785" s="34" t="s">
        <v>252</v>
      </c>
      <c r="AH785" s="34" t="s">
        <v>971</v>
      </c>
    </row>
    <row r="786">
      <c r="AE786" s="34" t="s">
        <v>674</v>
      </c>
      <c r="AF786" s="34">
        <v>0.0</v>
      </c>
      <c r="AG786" s="34" t="s">
        <v>252</v>
      </c>
      <c r="AH786" s="34" t="s">
        <v>971</v>
      </c>
    </row>
    <row r="787">
      <c r="AE787" s="34" t="s">
        <v>674</v>
      </c>
      <c r="AF787" s="34">
        <v>0.0</v>
      </c>
      <c r="AG787" s="34" t="s">
        <v>252</v>
      </c>
      <c r="AH787" s="34" t="s">
        <v>971</v>
      </c>
    </row>
    <row r="788">
      <c r="AE788" s="34" t="s">
        <v>674</v>
      </c>
      <c r="AF788" s="34">
        <v>0.0</v>
      </c>
      <c r="AG788" s="34" t="s">
        <v>252</v>
      </c>
      <c r="AH788" s="34" t="s">
        <v>971</v>
      </c>
    </row>
    <row r="789">
      <c r="AE789" s="34" t="s">
        <v>674</v>
      </c>
      <c r="AF789" s="34">
        <v>0.0</v>
      </c>
      <c r="AG789" s="34" t="s">
        <v>252</v>
      </c>
      <c r="AH789" s="34" t="s">
        <v>971</v>
      </c>
    </row>
    <row r="790">
      <c r="AE790" s="34" t="s">
        <v>674</v>
      </c>
      <c r="AF790" s="34">
        <v>0.0</v>
      </c>
      <c r="AG790" s="34" t="s">
        <v>252</v>
      </c>
      <c r="AH790" s="34" t="s">
        <v>971</v>
      </c>
    </row>
    <row r="791">
      <c r="AE791" s="34" t="s">
        <v>674</v>
      </c>
      <c r="AF791" s="34">
        <v>0.0</v>
      </c>
      <c r="AG791" s="34" t="s">
        <v>252</v>
      </c>
      <c r="AH791" s="34" t="s">
        <v>971</v>
      </c>
    </row>
    <row r="792">
      <c r="AE792" s="34" t="s">
        <v>674</v>
      </c>
      <c r="AF792" s="34">
        <v>0.0</v>
      </c>
      <c r="AG792" s="34" t="s">
        <v>252</v>
      </c>
      <c r="AH792" s="34" t="s">
        <v>971</v>
      </c>
    </row>
    <row r="793">
      <c r="AE793" s="34" t="s">
        <v>674</v>
      </c>
      <c r="AF793" s="34">
        <v>0.0</v>
      </c>
      <c r="AG793" s="34" t="s">
        <v>252</v>
      </c>
      <c r="AH793" s="34" t="s">
        <v>971</v>
      </c>
    </row>
    <row r="794">
      <c r="AE794" s="34" t="s">
        <v>674</v>
      </c>
      <c r="AF794" s="34">
        <v>0.0</v>
      </c>
      <c r="AG794" s="34" t="s">
        <v>252</v>
      </c>
      <c r="AH794" s="34" t="s">
        <v>971</v>
      </c>
    </row>
    <row r="795">
      <c r="AE795" s="34" t="s">
        <v>674</v>
      </c>
      <c r="AF795" s="34">
        <v>0.0</v>
      </c>
      <c r="AG795" s="34" t="s">
        <v>252</v>
      </c>
      <c r="AH795" s="34" t="s">
        <v>971</v>
      </c>
    </row>
    <row r="796">
      <c r="AE796" s="34" t="s">
        <v>674</v>
      </c>
      <c r="AF796" s="34">
        <v>0.0</v>
      </c>
      <c r="AG796" s="34" t="s">
        <v>252</v>
      </c>
      <c r="AH796" s="34" t="s">
        <v>971</v>
      </c>
    </row>
    <row r="797">
      <c r="AE797" s="34" t="s">
        <v>674</v>
      </c>
      <c r="AF797" s="34">
        <v>0.0</v>
      </c>
      <c r="AG797" s="34" t="s">
        <v>252</v>
      </c>
      <c r="AH797" s="34" t="s">
        <v>971</v>
      </c>
    </row>
    <row r="798">
      <c r="AE798" s="34" t="s">
        <v>674</v>
      </c>
      <c r="AF798" s="34">
        <v>0.0</v>
      </c>
      <c r="AG798" s="34" t="s">
        <v>252</v>
      </c>
      <c r="AH798" s="34" t="s">
        <v>971</v>
      </c>
    </row>
    <row r="799">
      <c r="AE799" s="34" t="s">
        <v>674</v>
      </c>
      <c r="AF799" s="34">
        <v>0.0</v>
      </c>
      <c r="AG799" s="34" t="s">
        <v>252</v>
      </c>
      <c r="AH799" s="34" t="s">
        <v>971</v>
      </c>
    </row>
    <row r="800">
      <c r="AE800" s="34" t="s">
        <v>674</v>
      </c>
      <c r="AF800" s="34">
        <v>0.0</v>
      </c>
      <c r="AG800" s="34" t="s">
        <v>252</v>
      </c>
      <c r="AH800" s="34" t="s">
        <v>971</v>
      </c>
    </row>
    <row r="801">
      <c r="AE801" s="34" t="s">
        <v>674</v>
      </c>
      <c r="AF801" s="34">
        <v>0.0</v>
      </c>
      <c r="AG801" s="34" t="s">
        <v>252</v>
      </c>
      <c r="AH801" s="34" t="s">
        <v>971</v>
      </c>
    </row>
    <row r="802">
      <c r="AE802" s="34" t="s">
        <v>674</v>
      </c>
      <c r="AF802" s="34">
        <v>0.0</v>
      </c>
      <c r="AG802" s="34" t="s">
        <v>252</v>
      </c>
      <c r="AH802" s="34" t="s">
        <v>971</v>
      </c>
    </row>
    <row r="803">
      <c r="AE803" s="34" t="s">
        <v>674</v>
      </c>
      <c r="AF803" s="34">
        <v>0.0</v>
      </c>
      <c r="AG803" s="34" t="s">
        <v>252</v>
      </c>
      <c r="AH803" s="34" t="s">
        <v>971</v>
      </c>
    </row>
    <row r="804">
      <c r="AE804" s="34" t="s">
        <v>674</v>
      </c>
      <c r="AF804" s="34">
        <v>0.0</v>
      </c>
      <c r="AG804" s="34" t="s">
        <v>252</v>
      </c>
      <c r="AH804" s="34" t="s">
        <v>971</v>
      </c>
    </row>
    <row r="805">
      <c r="AE805" s="34" t="s">
        <v>674</v>
      </c>
      <c r="AF805" s="34">
        <v>0.0</v>
      </c>
      <c r="AG805" s="34" t="s">
        <v>252</v>
      </c>
      <c r="AH805" s="34" t="s">
        <v>971</v>
      </c>
    </row>
    <row r="806">
      <c r="AE806" s="34" t="s">
        <v>674</v>
      </c>
      <c r="AF806" s="34">
        <v>0.0</v>
      </c>
      <c r="AG806" s="34" t="s">
        <v>252</v>
      </c>
      <c r="AH806" s="34" t="s">
        <v>971</v>
      </c>
    </row>
    <row r="807">
      <c r="AE807" s="34" t="s">
        <v>674</v>
      </c>
      <c r="AF807" s="34">
        <v>0.0</v>
      </c>
      <c r="AG807" s="34" t="s">
        <v>252</v>
      </c>
      <c r="AH807" s="34" t="s">
        <v>971</v>
      </c>
    </row>
    <row r="808">
      <c r="AE808" s="34" t="s">
        <v>674</v>
      </c>
      <c r="AF808" s="34">
        <v>0.0</v>
      </c>
      <c r="AG808" s="34" t="s">
        <v>252</v>
      </c>
      <c r="AH808" s="34" t="s">
        <v>971</v>
      </c>
    </row>
    <row r="809">
      <c r="AE809" s="34" t="s">
        <v>674</v>
      </c>
      <c r="AF809" s="34">
        <v>0.0</v>
      </c>
      <c r="AG809" s="34" t="s">
        <v>252</v>
      </c>
      <c r="AH809" s="34" t="s">
        <v>971</v>
      </c>
    </row>
    <row r="810">
      <c r="AE810" s="34" t="s">
        <v>674</v>
      </c>
      <c r="AF810" s="34">
        <v>0.0</v>
      </c>
      <c r="AG810" s="34" t="s">
        <v>252</v>
      </c>
      <c r="AH810" s="34" t="s">
        <v>971</v>
      </c>
    </row>
    <row r="811">
      <c r="AE811" s="34" t="s">
        <v>674</v>
      </c>
      <c r="AF811" s="34">
        <v>0.0</v>
      </c>
      <c r="AG811" s="34" t="s">
        <v>252</v>
      </c>
      <c r="AH811" s="34" t="s">
        <v>971</v>
      </c>
    </row>
    <row r="812">
      <c r="AE812" s="34" t="s">
        <v>674</v>
      </c>
      <c r="AF812" s="34">
        <v>0.0</v>
      </c>
      <c r="AG812" s="34" t="s">
        <v>252</v>
      </c>
      <c r="AH812" s="34" t="s">
        <v>971</v>
      </c>
    </row>
    <row r="813">
      <c r="AE813" s="34" t="s">
        <v>674</v>
      </c>
      <c r="AF813" s="34">
        <v>0.0</v>
      </c>
      <c r="AG813" s="34" t="s">
        <v>252</v>
      </c>
      <c r="AH813" s="34" t="s">
        <v>971</v>
      </c>
    </row>
    <row r="814">
      <c r="AE814" s="34" t="s">
        <v>674</v>
      </c>
      <c r="AF814" s="34">
        <v>0.0</v>
      </c>
      <c r="AG814" s="34" t="s">
        <v>252</v>
      </c>
      <c r="AH814" s="34" t="s">
        <v>971</v>
      </c>
    </row>
    <row r="815">
      <c r="AE815" s="34" t="s">
        <v>674</v>
      </c>
      <c r="AF815" s="34">
        <v>0.0</v>
      </c>
      <c r="AG815" s="34" t="s">
        <v>252</v>
      </c>
      <c r="AH815" s="34" t="s">
        <v>971</v>
      </c>
    </row>
    <row r="816">
      <c r="AE816" s="34" t="s">
        <v>674</v>
      </c>
      <c r="AF816" s="34">
        <v>0.0</v>
      </c>
      <c r="AG816" s="34" t="s">
        <v>252</v>
      </c>
      <c r="AH816" s="34" t="s">
        <v>971</v>
      </c>
    </row>
    <row r="817">
      <c r="AE817" s="34" t="s">
        <v>674</v>
      </c>
      <c r="AF817" s="34">
        <v>0.0</v>
      </c>
      <c r="AG817" s="34" t="s">
        <v>252</v>
      </c>
      <c r="AH817" s="34" t="s">
        <v>971</v>
      </c>
    </row>
    <row r="818">
      <c r="AE818" s="34" t="s">
        <v>674</v>
      </c>
      <c r="AF818" s="34">
        <v>0.0</v>
      </c>
      <c r="AG818" s="34" t="s">
        <v>252</v>
      </c>
      <c r="AH818" s="34" t="s">
        <v>971</v>
      </c>
    </row>
    <row r="819">
      <c r="AE819" s="34" t="s">
        <v>674</v>
      </c>
      <c r="AF819" s="34">
        <v>0.0</v>
      </c>
      <c r="AG819" s="34" t="s">
        <v>252</v>
      </c>
      <c r="AH819" s="34" t="s">
        <v>971</v>
      </c>
    </row>
    <row r="820">
      <c r="AE820" s="34" t="s">
        <v>674</v>
      </c>
      <c r="AF820" s="34">
        <v>0.0</v>
      </c>
      <c r="AG820" s="34" t="s">
        <v>252</v>
      </c>
      <c r="AH820" s="34" t="s">
        <v>971</v>
      </c>
    </row>
    <row r="821">
      <c r="AE821" s="34" t="s">
        <v>674</v>
      </c>
      <c r="AF821" s="34">
        <v>0.0</v>
      </c>
      <c r="AG821" s="34" t="s">
        <v>252</v>
      </c>
      <c r="AH821" s="34" t="s">
        <v>971</v>
      </c>
    </row>
    <row r="822">
      <c r="AE822" s="34" t="s">
        <v>674</v>
      </c>
      <c r="AF822" s="34">
        <v>0.0</v>
      </c>
      <c r="AG822" s="34" t="s">
        <v>252</v>
      </c>
      <c r="AH822" s="34" t="s">
        <v>971</v>
      </c>
    </row>
    <row r="823">
      <c r="AE823" s="34" t="s">
        <v>674</v>
      </c>
      <c r="AF823" s="34">
        <v>0.0</v>
      </c>
      <c r="AG823" s="34" t="s">
        <v>252</v>
      </c>
      <c r="AH823" s="34" t="s">
        <v>971</v>
      </c>
    </row>
    <row r="824">
      <c r="AE824" s="34" t="s">
        <v>674</v>
      </c>
      <c r="AF824" s="34">
        <v>0.0</v>
      </c>
      <c r="AG824" s="34" t="s">
        <v>252</v>
      </c>
      <c r="AH824" s="34" t="s">
        <v>971</v>
      </c>
    </row>
    <row r="825">
      <c r="AE825" s="34" t="s">
        <v>674</v>
      </c>
      <c r="AF825" s="34">
        <v>0.0</v>
      </c>
      <c r="AG825" s="34" t="s">
        <v>252</v>
      </c>
      <c r="AH825" s="34" t="s">
        <v>971</v>
      </c>
    </row>
    <row r="826">
      <c r="AE826" s="34" t="s">
        <v>674</v>
      </c>
      <c r="AF826" s="34">
        <v>0.0</v>
      </c>
      <c r="AG826" s="34" t="s">
        <v>252</v>
      </c>
      <c r="AH826" s="34" t="s">
        <v>971</v>
      </c>
    </row>
    <row r="827">
      <c r="AE827" s="34" t="s">
        <v>674</v>
      </c>
      <c r="AF827" s="34">
        <v>0.0</v>
      </c>
      <c r="AG827" s="34" t="s">
        <v>252</v>
      </c>
      <c r="AH827" s="34" t="s">
        <v>971</v>
      </c>
    </row>
    <row r="828">
      <c r="AE828" s="34" t="s">
        <v>674</v>
      </c>
      <c r="AF828" s="34">
        <v>0.0</v>
      </c>
      <c r="AG828" s="34" t="s">
        <v>252</v>
      </c>
      <c r="AH828" s="34" t="s">
        <v>971</v>
      </c>
    </row>
    <row r="829">
      <c r="AE829" s="34" t="s">
        <v>674</v>
      </c>
      <c r="AF829" s="34">
        <v>0.0</v>
      </c>
      <c r="AG829" s="34" t="s">
        <v>252</v>
      </c>
      <c r="AH829" s="34" t="s">
        <v>971</v>
      </c>
    </row>
    <row r="830">
      <c r="AE830" s="34" t="s">
        <v>674</v>
      </c>
      <c r="AF830" s="34">
        <v>0.0</v>
      </c>
      <c r="AG830" s="34" t="s">
        <v>252</v>
      </c>
      <c r="AH830" s="34" t="s">
        <v>971</v>
      </c>
    </row>
    <row r="831">
      <c r="AE831" s="34" t="s">
        <v>674</v>
      </c>
      <c r="AF831" s="34">
        <v>0.0</v>
      </c>
      <c r="AG831" s="34" t="s">
        <v>252</v>
      </c>
      <c r="AH831" s="34" t="s">
        <v>971</v>
      </c>
    </row>
    <row r="832">
      <c r="AE832" s="34" t="s">
        <v>674</v>
      </c>
      <c r="AF832" s="34">
        <v>0.0</v>
      </c>
      <c r="AG832" s="34" t="s">
        <v>252</v>
      </c>
      <c r="AH832" s="34" t="s">
        <v>971</v>
      </c>
    </row>
    <row r="833">
      <c r="AE833" s="34" t="s">
        <v>674</v>
      </c>
      <c r="AF833" s="34">
        <v>0.0</v>
      </c>
      <c r="AG833" s="34" t="s">
        <v>252</v>
      </c>
      <c r="AH833" s="34" t="s">
        <v>971</v>
      </c>
    </row>
    <row r="834">
      <c r="AE834" s="34" t="s">
        <v>674</v>
      </c>
      <c r="AF834" s="34">
        <v>0.0</v>
      </c>
      <c r="AG834" s="34" t="s">
        <v>252</v>
      </c>
      <c r="AH834" s="34" t="s">
        <v>971</v>
      </c>
    </row>
    <row r="835">
      <c r="AE835" s="34" t="s">
        <v>674</v>
      </c>
      <c r="AF835" s="34">
        <v>0.0</v>
      </c>
      <c r="AG835" s="34" t="s">
        <v>252</v>
      </c>
      <c r="AH835" s="34" t="s">
        <v>971</v>
      </c>
    </row>
    <row r="836">
      <c r="AE836" s="34" t="s">
        <v>674</v>
      </c>
      <c r="AF836" s="34">
        <v>0.0</v>
      </c>
      <c r="AG836" s="34" t="s">
        <v>252</v>
      </c>
      <c r="AH836" s="34" t="s">
        <v>971</v>
      </c>
    </row>
    <row r="837">
      <c r="AE837" s="34" t="s">
        <v>674</v>
      </c>
      <c r="AF837" s="34">
        <v>0.0</v>
      </c>
      <c r="AG837" s="34" t="s">
        <v>252</v>
      </c>
      <c r="AH837" s="34" t="s">
        <v>971</v>
      </c>
    </row>
    <row r="838">
      <c r="AE838" s="34" t="s">
        <v>674</v>
      </c>
      <c r="AF838" s="34">
        <v>0.0</v>
      </c>
      <c r="AG838" s="34" t="s">
        <v>252</v>
      </c>
      <c r="AH838" s="34" t="s">
        <v>971</v>
      </c>
    </row>
    <row r="839">
      <c r="AE839" s="34" t="s">
        <v>674</v>
      </c>
      <c r="AF839" s="34">
        <v>0.0</v>
      </c>
      <c r="AG839" s="34" t="s">
        <v>252</v>
      </c>
      <c r="AH839" s="34" t="s">
        <v>971</v>
      </c>
    </row>
    <row r="840">
      <c r="AE840" s="34" t="s">
        <v>674</v>
      </c>
      <c r="AF840" s="34">
        <v>0.0</v>
      </c>
      <c r="AG840" s="34" t="s">
        <v>252</v>
      </c>
      <c r="AH840" s="34" t="s">
        <v>971</v>
      </c>
    </row>
    <row r="841">
      <c r="AE841" s="34" t="s">
        <v>674</v>
      </c>
      <c r="AF841" s="34">
        <v>0.0</v>
      </c>
      <c r="AG841" s="34" t="s">
        <v>252</v>
      </c>
      <c r="AH841" s="34" t="s">
        <v>971</v>
      </c>
    </row>
    <row r="842">
      <c r="AE842" s="34" t="s">
        <v>674</v>
      </c>
      <c r="AF842" s="34">
        <v>0.0</v>
      </c>
      <c r="AG842" s="34" t="s">
        <v>252</v>
      </c>
      <c r="AH842" s="34" t="s">
        <v>971</v>
      </c>
    </row>
    <row r="843">
      <c r="AE843" s="34" t="s">
        <v>674</v>
      </c>
      <c r="AF843" s="34">
        <v>0.0</v>
      </c>
      <c r="AG843" s="34" t="s">
        <v>252</v>
      </c>
      <c r="AH843" s="34" t="s">
        <v>971</v>
      </c>
    </row>
    <row r="844">
      <c r="AE844" s="34" t="s">
        <v>674</v>
      </c>
      <c r="AF844" s="34">
        <v>0.0</v>
      </c>
      <c r="AG844" s="34" t="s">
        <v>252</v>
      </c>
      <c r="AH844" s="34" t="s">
        <v>971</v>
      </c>
    </row>
    <row r="845">
      <c r="AE845" s="34" t="s">
        <v>674</v>
      </c>
      <c r="AF845" s="34">
        <v>0.0</v>
      </c>
      <c r="AG845" s="34" t="s">
        <v>252</v>
      </c>
      <c r="AH845" s="34" t="s">
        <v>971</v>
      </c>
    </row>
    <row r="846">
      <c r="AE846" s="34" t="s">
        <v>674</v>
      </c>
      <c r="AF846" s="34">
        <v>0.0</v>
      </c>
      <c r="AG846" s="34" t="s">
        <v>252</v>
      </c>
      <c r="AH846" s="34" t="s">
        <v>971</v>
      </c>
    </row>
    <row r="847">
      <c r="AE847" s="34" t="s">
        <v>674</v>
      </c>
      <c r="AF847" s="34">
        <v>0.0</v>
      </c>
      <c r="AG847" s="34" t="s">
        <v>252</v>
      </c>
      <c r="AH847" s="34" t="s">
        <v>971</v>
      </c>
    </row>
    <row r="848">
      <c r="AE848" s="34" t="s">
        <v>674</v>
      </c>
      <c r="AF848" s="34">
        <v>0.0</v>
      </c>
      <c r="AG848" s="34" t="s">
        <v>252</v>
      </c>
      <c r="AH848" s="34" t="s">
        <v>971</v>
      </c>
    </row>
    <row r="849">
      <c r="AE849" s="34" t="s">
        <v>674</v>
      </c>
      <c r="AF849" s="34">
        <v>0.0</v>
      </c>
      <c r="AG849" s="34" t="s">
        <v>252</v>
      </c>
      <c r="AH849" s="34" t="s">
        <v>971</v>
      </c>
    </row>
    <row r="850">
      <c r="AE850" s="34" t="s">
        <v>674</v>
      </c>
      <c r="AF850" s="34">
        <v>0.0</v>
      </c>
      <c r="AG850" s="34" t="s">
        <v>252</v>
      </c>
      <c r="AH850" s="34" t="s">
        <v>971</v>
      </c>
    </row>
    <row r="851">
      <c r="AE851" s="34" t="s">
        <v>674</v>
      </c>
      <c r="AF851" s="34">
        <v>0.0</v>
      </c>
      <c r="AG851" s="34" t="s">
        <v>252</v>
      </c>
      <c r="AH851" s="34" t="s">
        <v>971</v>
      </c>
    </row>
    <row r="852">
      <c r="AE852" s="34" t="s">
        <v>674</v>
      </c>
      <c r="AF852" s="34">
        <v>0.0</v>
      </c>
      <c r="AG852" s="34" t="s">
        <v>252</v>
      </c>
      <c r="AH852" s="34" t="s">
        <v>971</v>
      </c>
    </row>
    <row r="853">
      <c r="AE853" s="34" t="s">
        <v>674</v>
      </c>
      <c r="AF853" s="34">
        <v>0.0</v>
      </c>
      <c r="AG853" s="34" t="s">
        <v>252</v>
      </c>
      <c r="AH853" s="34" t="s">
        <v>971</v>
      </c>
    </row>
    <row r="854">
      <c r="AE854" s="34" t="s">
        <v>674</v>
      </c>
      <c r="AF854" s="34">
        <v>0.0</v>
      </c>
      <c r="AG854" s="34" t="s">
        <v>252</v>
      </c>
      <c r="AH854" s="34" t="s">
        <v>971</v>
      </c>
    </row>
    <row r="855">
      <c r="AE855" s="34" t="s">
        <v>674</v>
      </c>
      <c r="AF855" s="34">
        <v>0.0</v>
      </c>
      <c r="AG855" s="34" t="s">
        <v>252</v>
      </c>
      <c r="AH855" s="34" t="s">
        <v>971</v>
      </c>
    </row>
    <row r="856">
      <c r="AE856" s="34" t="s">
        <v>674</v>
      </c>
      <c r="AF856" s="34">
        <v>0.0</v>
      </c>
      <c r="AG856" s="34" t="s">
        <v>252</v>
      </c>
      <c r="AH856" s="34" t="s">
        <v>971</v>
      </c>
    </row>
    <row r="857">
      <c r="AE857" s="34" t="s">
        <v>674</v>
      </c>
      <c r="AF857" s="34">
        <v>0.0</v>
      </c>
      <c r="AG857" s="34" t="s">
        <v>252</v>
      </c>
      <c r="AH857" s="34" t="s">
        <v>971</v>
      </c>
    </row>
    <row r="858">
      <c r="AE858" s="34" t="s">
        <v>674</v>
      </c>
      <c r="AF858" s="34">
        <v>0.0</v>
      </c>
      <c r="AG858" s="34" t="s">
        <v>252</v>
      </c>
      <c r="AH858" s="34" t="s">
        <v>971</v>
      </c>
    </row>
    <row r="859">
      <c r="AE859" s="34" t="s">
        <v>674</v>
      </c>
      <c r="AF859" s="34">
        <v>0.0</v>
      </c>
      <c r="AG859" s="34" t="s">
        <v>252</v>
      </c>
      <c r="AH859" s="34" t="s">
        <v>971</v>
      </c>
    </row>
    <row r="860">
      <c r="AE860" s="34" t="s">
        <v>674</v>
      </c>
      <c r="AF860" s="34">
        <v>0.0</v>
      </c>
      <c r="AG860" s="34" t="s">
        <v>252</v>
      </c>
      <c r="AH860" s="34" t="s">
        <v>971</v>
      </c>
    </row>
    <row r="861">
      <c r="AE861" s="34" t="s">
        <v>674</v>
      </c>
      <c r="AF861" s="34">
        <v>0.0</v>
      </c>
      <c r="AG861" s="34" t="s">
        <v>252</v>
      </c>
      <c r="AH861" s="34" t="s">
        <v>971</v>
      </c>
    </row>
    <row r="862">
      <c r="AE862" s="34" t="s">
        <v>674</v>
      </c>
      <c r="AF862" s="34">
        <v>0.0</v>
      </c>
      <c r="AG862" s="34" t="s">
        <v>252</v>
      </c>
      <c r="AH862" s="34" t="s">
        <v>971</v>
      </c>
    </row>
    <row r="863">
      <c r="AE863" s="34" t="s">
        <v>674</v>
      </c>
      <c r="AF863" s="34">
        <v>0.0</v>
      </c>
      <c r="AG863" s="34" t="s">
        <v>252</v>
      </c>
      <c r="AH863" s="34" t="s">
        <v>971</v>
      </c>
    </row>
    <row r="864">
      <c r="AE864" s="34" t="s">
        <v>674</v>
      </c>
      <c r="AF864" s="34">
        <v>0.0</v>
      </c>
      <c r="AG864" s="34" t="s">
        <v>252</v>
      </c>
      <c r="AH864" s="34" t="s">
        <v>971</v>
      </c>
    </row>
    <row r="865">
      <c r="AE865" s="34" t="s">
        <v>674</v>
      </c>
      <c r="AF865" s="34">
        <v>0.0</v>
      </c>
      <c r="AG865" s="34" t="s">
        <v>252</v>
      </c>
      <c r="AH865" s="34" t="s">
        <v>971</v>
      </c>
    </row>
    <row r="866">
      <c r="AE866" s="34" t="s">
        <v>674</v>
      </c>
      <c r="AF866" s="34">
        <v>0.0</v>
      </c>
      <c r="AG866" s="34" t="s">
        <v>252</v>
      </c>
      <c r="AH866" s="34" t="s">
        <v>971</v>
      </c>
    </row>
    <row r="867">
      <c r="AE867" s="34" t="s">
        <v>674</v>
      </c>
      <c r="AF867" s="34">
        <v>0.0</v>
      </c>
      <c r="AG867" s="34" t="s">
        <v>252</v>
      </c>
      <c r="AH867" s="34" t="s">
        <v>971</v>
      </c>
    </row>
    <row r="868">
      <c r="AE868" s="34" t="s">
        <v>674</v>
      </c>
      <c r="AF868" s="34">
        <v>0.0</v>
      </c>
      <c r="AG868" s="34" t="s">
        <v>252</v>
      </c>
      <c r="AH868" s="34" t="s">
        <v>971</v>
      </c>
    </row>
    <row r="869">
      <c r="AE869" s="34" t="s">
        <v>674</v>
      </c>
      <c r="AF869" s="34">
        <v>0.0</v>
      </c>
      <c r="AG869" s="34" t="s">
        <v>252</v>
      </c>
      <c r="AH869" s="34" t="s">
        <v>971</v>
      </c>
    </row>
    <row r="870">
      <c r="AE870" s="34" t="s">
        <v>674</v>
      </c>
      <c r="AF870" s="34">
        <v>0.0</v>
      </c>
      <c r="AG870" s="34" t="s">
        <v>252</v>
      </c>
      <c r="AH870" s="34" t="s">
        <v>971</v>
      </c>
    </row>
    <row r="871">
      <c r="AE871" s="34" t="s">
        <v>674</v>
      </c>
      <c r="AF871" s="34">
        <v>0.0</v>
      </c>
      <c r="AG871" s="34" t="s">
        <v>252</v>
      </c>
      <c r="AH871" s="34" t="s">
        <v>971</v>
      </c>
    </row>
    <row r="872">
      <c r="AE872" s="34" t="s">
        <v>674</v>
      </c>
      <c r="AF872" s="34">
        <v>0.0</v>
      </c>
      <c r="AG872" s="34" t="s">
        <v>252</v>
      </c>
      <c r="AH872" s="34" t="s">
        <v>971</v>
      </c>
    </row>
    <row r="873">
      <c r="AE873" s="34" t="s">
        <v>674</v>
      </c>
      <c r="AF873" s="34">
        <v>0.0</v>
      </c>
      <c r="AG873" s="34" t="s">
        <v>252</v>
      </c>
      <c r="AH873" s="34" t="s">
        <v>971</v>
      </c>
    </row>
    <row r="874">
      <c r="AE874" s="34" t="s">
        <v>674</v>
      </c>
      <c r="AF874" s="34">
        <v>0.0</v>
      </c>
      <c r="AG874" s="34" t="s">
        <v>252</v>
      </c>
      <c r="AH874" s="34" t="s">
        <v>971</v>
      </c>
    </row>
    <row r="875">
      <c r="AE875" s="34" t="s">
        <v>674</v>
      </c>
      <c r="AF875" s="34">
        <v>0.0</v>
      </c>
      <c r="AG875" s="34" t="s">
        <v>252</v>
      </c>
      <c r="AH875" s="34" t="s">
        <v>971</v>
      </c>
    </row>
    <row r="876">
      <c r="AE876" s="34" t="s">
        <v>674</v>
      </c>
      <c r="AF876" s="34">
        <v>0.0</v>
      </c>
      <c r="AG876" s="34" t="s">
        <v>252</v>
      </c>
      <c r="AH876" s="34" t="s">
        <v>971</v>
      </c>
    </row>
    <row r="877">
      <c r="AE877" s="34" t="s">
        <v>674</v>
      </c>
      <c r="AF877" s="34">
        <v>0.0</v>
      </c>
      <c r="AG877" s="34" t="s">
        <v>252</v>
      </c>
      <c r="AH877" s="34" t="s">
        <v>971</v>
      </c>
    </row>
    <row r="878">
      <c r="AE878" s="34" t="s">
        <v>674</v>
      </c>
      <c r="AF878" s="34">
        <v>0.0</v>
      </c>
      <c r="AG878" s="34" t="s">
        <v>252</v>
      </c>
      <c r="AH878" s="34" t="s">
        <v>971</v>
      </c>
    </row>
    <row r="879">
      <c r="AE879" s="34" t="s">
        <v>674</v>
      </c>
      <c r="AF879" s="34">
        <v>0.0</v>
      </c>
      <c r="AG879" s="34" t="s">
        <v>252</v>
      </c>
      <c r="AH879" s="34" t="s">
        <v>971</v>
      </c>
    </row>
    <row r="880">
      <c r="AE880" s="34" t="s">
        <v>674</v>
      </c>
      <c r="AF880" s="34">
        <v>0.0</v>
      </c>
      <c r="AG880" s="34" t="s">
        <v>252</v>
      </c>
      <c r="AH880" s="34" t="s">
        <v>971</v>
      </c>
    </row>
    <row r="881">
      <c r="AE881" s="34" t="s">
        <v>674</v>
      </c>
      <c r="AF881" s="34">
        <v>0.0</v>
      </c>
      <c r="AG881" s="34" t="s">
        <v>252</v>
      </c>
      <c r="AH881" s="34" t="s">
        <v>971</v>
      </c>
    </row>
    <row r="882">
      <c r="AE882" s="34" t="s">
        <v>674</v>
      </c>
      <c r="AF882" s="34">
        <v>0.0</v>
      </c>
      <c r="AG882" s="34" t="s">
        <v>252</v>
      </c>
      <c r="AH882" s="34" t="s">
        <v>971</v>
      </c>
    </row>
    <row r="883">
      <c r="AE883" s="34" t="s">
        <v>674</v>
      </c>
      <c r="AF883" s="34">
        <v>0.0</v>
      </c>
      <c r="AG883" s="34" t="s">
        <v>252</v>
      </c>
      <c r="AH883" s="34" t="s">
        <v>971</v>
      </c>
    </row>
    <row r="884">
      <c r="AE884" s="34" t="s">
        <v>674</v>
      </c>
      <c r="AF884" s="34">
        <v>0.0</v>
      </c>
      <c r="AG884" s="34" t="s">
        <v>252</v>
      </c>
      <c r="AH884" s="34" t="s">
        <v>971</v>
      </c>
    </row>
    <row r="885">
      <c r="AE885" s="34" t="s">
        <v>674</v>
      </c>
      <c r="AF885" s="34">
        <v>0.0</v>
      </c>
      <c r="AG885" s="34" t="s">
        <v>252</v>
      </c>
      <c r="AH885" s="34" t="s">
        <v>971</v>
      </c>
    </row>
    <row r="886">
      <c r="AE886" s="34" t="s">
        <v>674</v>
      </c>
      <c r="AF886" s="34">
        <v>0.0</v>
      </c>
      <c r="AG886" s="34" t="s">
        <v>252</v>
      </c>
      <c r="AH886" s="34" t="s">
        <v>971</v>
      </c>
    </row>
    <row r="887">
      <c r="AE887" s="34" t="s">
        <v>674</v>
      </c>
      <c r="AF887" s="34">
        <v>0.0</v>
      </c>
      <c r="AG887" s="34" t="s">
        <v>252</v>
      </c>
      <c r="AH887" s="34" t="s">
        <v>971</v>
      </c>
    </row>
    <row r="888">
      <c r="AE888" s="34" t="s">
        <v>674</v>
      </c>
      <c r="AF888" s="34">
        <v>0.0</v>
      </c>
      <c r="AG888" s="34" t="s">
        <v>252</v>
      </c>
      <c r="AH888" s="34" t="s">
        <v>971</v>
      </c>
    </row>
    <row r="889">
      <c r="AE889" s="34" t="s">
        <v>674</v>
      </c>
      <c r="AF889" s="34">
        <v>0.0</v>
      </c>
      <c r="AG889" s="34" t="s">
        <v>252</v>
      </c>
      <c r="AH889" s="34" t="s">
        <v>971</v>
      </c>
    </row>
    <row r="890">
      <c r="AE890" s="34" t="s">
        <v>674</v>
      </c>
      <c r="AF890" s="34">
        <v>0.0</v>
      </c>
      <c r="AG890" s="34" t="s">
        <v>252</v>
      </c>
      <c r="AH890" s="34" t="s">
        <v>971</v>
      </c>
    </row>
    <row r="891">
      <c r="AE891" s="34" t="s">
        <v>674</v>
      </c>
      <c r="AF891" s="34">
        <v>0.0</v>
      </c>
      <c r="AG891" s="34" t="s">
        <v>252</v>
      </c>
      <c r="AH891" s="34" t="s">
        <v>971</v>
      </c>
    </row>
    <row r="892">
      <c r="AE892" s="34" t="s">
        <v>674</v>
      </c>
      <c r="AF892" s="34">
        <v>0.0</v>
      </c>
      <c r="AG892" s="34" t="s">
        <v>252</v>
      </c>
      <c r="AH892" s="34" t="s">
        <v>971</v>
      </c>
    </row>
    <row r="893">
      <c r="AE893" s="34" t="s">
        <v>674</v>
      </c>
      <c r="AF893" s="34">
        <v>0.0</v>
      </c>
      <c r="AG893" s="34" t="s">
        <v>252</v>
      </c>
      <c r="AH893" s="34" t="s">
        <v>971</v>
      </c>
    </row>
    <row r="894">
      <c r="AE894" s="34" t="s">
        <v>674</v>
      </c>
      <c r="AF894" s="34">
        <v>0.0</v>
      </c>
      <c r="AG894" s="34" t="s">
        <v>252</v>
      </c>
      <c r="AH894" s="34" t="s">
        <v>971</v>
      </c>
    </row>
    <row r="895">
      <c r="AE895" s="34" t="s">
        <v>674</v>
      </c>
      <c r="AF895" s="34">
        <v>0.0</v>
      </c>
      <c r="AG895" s="34" t="s">
        <v>252</v>
      </c>
      <c r="AH895" s="34" t="s">
        <v>971</v>
      </c>
    </row>
    <row r="896">
      <c r="AE896" s="34" t="s">
        <v>674</v>
      </c>
      <c r="AF896" s="34">
        <v>0.0</v>
      </c>
      <c r="AG896" s="34" t="s">
        <v>252</v>
      </c>
      <c r="AH896" s="34" t="s">
        <v>971</v>
      </c>
    </row>
    <row r="897">
      <c r="AE897" s="34" t="s">
        <v>674</v>
      </c>
      <c r="AF897" s="34">
        <v>0.0</v>
      </c>
      <c r="AG897" s="34" t="s">
        <v>252</v>
      </c>
      <c r="AH897" s="34" t="s">
        <v>971</v>
      </c>
    </row>
    <row r="898">
      <c r="AE898" s="34" t="s">
        <v>674</v>
      </c>
      <c r="AF898" s="34">
        <v>0.0</v>
      </c>
      <c r="AG898" s="34" t="s">
        <v>252</v>
      </c>
      <c r="AH898" s="34" t="s">
        <v>971</v>
      </c>
    </row>
    <row r="899">
      <c r="AE899" s="34" t="s">
        <v>674</v>
      </c>
      <c r="AF899" s="34">
        <v>0.0</v>
      </c>
      <c r="AG899" s="34" t="s">
        <v>252</v>
      </c>
      <c r="AH899" s="34" t="s">
        <v>971</v>
      </c>
    </row>
    <row r="900">
      <c r="AE900" s="34" t="s">
        <v>674</v>
      </c>
      <c r="AF900" s="34">
        <v>0.0</v>
      </c>
      <c r="AG900" s="34" t="s">
        <v>252</v>
      </c>
      <c r="AH900" s="34" t="s">
        <v>971</v>
      </c>
    </row>
    <row r="901">
      <c r="AE901" s="34" t="s">
        <v>674</v>
      </c>
      <c r="AF901" s="34">
        <v>0.0</v>
      </c>
      <c r="AG901" s="34" t="s">
        <v>252</v>
      </c>
      <c r="AH901" s="34" t="s">
        <v>971</v>
      </c>
    </row>
    <row r="902">
      <c r="AE902" s="34" t="s">
        <v>674</v>
      </c>
      <c r="AF902" s="34">
        <v>0.0</v>
      </c>
      <c r="AG902" s="34" t="s">
        <v>252</v>
      </c>
      <c r="AH902" s="34" t="s">
        <v>971</v>
      </c>
    </row>
    <row r="903">
      <c r="AE903" s="34" t="s">
        <v>674</v>
      </c>
      <c r="AF903" s="34">
        <v>0.0</v>
      </c>
      <c r="AG903" s="34" t="s">
        <v>252</v>
      </c>
      <c r="AH903" s="34" t="s">
        <v>971</v>
      </c>
    </row>
    <row r="904">
      <c r="AE904" s="34" t="s">
        <v>674</v>
      </c>
      <c r="AF904" s="34">
        <v>0.0</v>
      </c>
      <c r="AG904" s="34" t="s">
        <v>252</v>
      </c>
      <c r="AH904" s="34" t="s">
        <v>971</v>
      </c>
    </row>
    <row r="905">
      <c r="AE905" s="34" t="s">
        <v>674</v>
      </c>
      <c r="AF905" s="34">
        <v>0.0</v>
      </c>
      <c r="AG905" s="34" t="s">
        <v>252</v>
      </c>
      <c r="AH905" s="34" t="s">
        <v>971</v>
      </c>
    </row>
    <row r="906">
      <c r="AE906" s="34" t="s">
        <v>674</v>
      </c>
      <c r="AF906" s="34">
        <v>0.0</v>
      </c>
      <c r="AG906" s="34" t="s">
        <v>252</v>
      </c>
      <c r="AH906" s="34" t="s">
        <v>971</v>
      </c>
    </row>
    <row r="907">
      <c r="AE907" s="34" t="s">
        <v>674</v>
      </c>
      <c r="AF907" s="34">
        <v>0.0</v>
      </c>
      <c r="AG907" s="34" t="s">
        <v>252</v>
      </c>
      <c r="AH907" s="34" t="s">
        <v>971</v>
      </c>
    </row>
    <row r="908">
      <c r="AE908" s="34" t="s">
        <v>674</v>
      </c>
      <c r="AF908" s="34">
        <v>0.0</v>
      </c>
      <c r="AG908" s="34" t="s">
        <v>252</v>
      </c>
      <c r="AH908" s="34" t="s">
        <v>971</v>
      </c>
    </row>
    <row r="909">
      <c r="AE909" s="34" t="s">
        <v>674</v>
      </c>
      <c r="AF909" s="34">
        <v>0.0</v>
      </c>
      <c r="AG909" s="34" t="s">
        <v>252</v>
      </c>
      <c r="AH909" s="34" t="s">
        <v>971</v>
      </c>
    </row>
    <row r="910">
      <c r="AE910" s="34" t="s">
        <v>674</v>
      </c>
      <c r="AF910" s="34">
        <v>0.0</v>
      </c>
      <c r="AG910" s="34" t="s">
        <v>252</v>
      </c>
      <c r="AH910" s="34" t="s">
        <v>971</v>
      </c>
    </row>
    <row r="911">
      <c r="AE911" s="34" t="s">
        <v>674</v>
      </c>
      <c r="AF911" s="34">
        <v>0.0</v>
      </c>
      <c r="AG911" s="34" t="s">
        <v>252</v>
      </c>
      <c r="AH911" s="34" t="s">
        <v>971</v>
      </c>
    </row>
    <row r="912">
      <c r="AE912" s="34" t="s">
        <v>674</v>
      </c>
      <c r="AF912" s="34">
        <v>0.0</v>
      </c>
      <c r="AG912" s="34" t="s">
        <v>252</v>
      </c>
      <c r="AH912" s="34" t="s">
        <v>971</v>
      </c>
    </row>
    <row r="913">
      <c r="AE913" s="34" t="s">
        <v>674</v>
      </c>
      <c r="AF913" s="34">
        <v>0.0</v>
      </c>
      <c r="AG913" s="34" t="s">
        <v>252</v>
      </c>
      <c r="AH913" s="34" t="s">
        <v>971</v>
      </c>
    </row>
    <row r="914">
      <c r="AE914" s="34" t="s">
        <v>674</v>
      </c>
      <c r="AF914" s="34">
        <v>0.0</v>
      </c>
      <c r="AG914" s="34" t="s">
        <v>252</v>
      </c>
      <c r="AH914" s="34" t="s">
        <v>971</v>
      </c>
    </row>
    <row r="915">
      <c r="AE915" s="34" t="s">
        <v>674</v>
      </c>
      <c r="AF915" s="34">
        <v>0.0</v>
      </c>
      <c r="AG915" s="34" t="s">
        <v>252</v>
      </c>
      <c r="AH915" s="34" t="s">
        <v>971</v>
      </c>
    </row>
    <row r="916">
      <c r="AE916" s="34" t="s">
        <v>674</v>
      </c>
      <c r="AF916" s="34">
        <v>0.0</v>
      </c>
      <c r="AG916" s="34" t="s">
        <v>252</v>
      </c>
      <c r="AH916" s="34" t="s">
        <v>971</v>
      </c>
    </row>
    <row r="917">
      <c r="AE917" s="34" t="s">
        <v>674</v>
      </c>
      <c r="AF917" s="34">
        <v>0.0</v>
      </c>
      <c r="AG917" s="34" t="s">
        <v>252</v>
      </c>
      <c r="AH917" s="34" t="s">
        <v>971</v>
      </c>
    </row>
    <row r="918">
      <c r="AE918" s="34" t="s">
        <v>674</v>
      </c>
      <c r="AF918" s="34">
        <v>0.0</v>
      </c>
      <c r="AG918" s="34" t="s">
        <v>252</v>
      </c>
      <c r="AH918" s="34" t="s">
        <v>971</v>
      </c>
    </row>
    <row r="919">
      <c r="AE919" s="34" t="s">
        <v>674</v>
      </c>
      <c r="AF919" s="34">
        <v>0.0</v>
      </c>
      <c r="AG919" s="34" t="s">
        <v>252</v>
      </c>
      <c r="AH919" s="34" t="s">
        <v>971</v>
      </c>
    </row>
    <row r="920">
      <c r="AE920" s="34" t="s">
        <v>674</v>
      </c>
      <c r="AF920" s="34">
        <v>0.0</v>
      </c>
      <c r="AG920" s="34" t="s">
        <v>252</v>
      </c>
      <c r="AH920" s="34" t="s">
        <v>971</v>
      </c>
    </row>
    <row r="921">
      <c r="AE921" s="34" t="s">
        <v>674</v>
      </c>
      <c r="AF921" s="34">
        <v>0.0</v>
      </c>
      <c r="AG921" s="34" t="s">
        <v>252</v>
      </c>
      <c r="AH921" s="34" t="s">
        <v>971</v>
      </c>
    </row>
    <row r="922">
      <c r="AE922" s="34" t="s">
        <v>674</v>
      </c>
      <c r="AF922" s="34">
        <v>0.0</v>
      </c>
      <c r="AG922" s="34" t="s">
        <v>252</v>
      </c>
      <c r="AH922" s="34" t="s">
        <v>971</v>
      </c>
    </row>
    <row r="923">
      <c r="AE923" s="34" t="s">
        <v>674</v>
      </c>
      <c r="AF923" s="34">
        <v>0.0</v>
      </c>
      <c r="AG923" s="34" t="s">
        <v>252</v>
      </c>
      <c r="AH923" s="34" t="s">
        <v>971</v>
      </c>
    </row>
    <row r="924">
      <c r="AE924" s="34" t="s">
        <v>674</v>
      </c>
      <c r="AF924" s="34">
        <v>0.0</v>
      </c>
      <c r="AG924" s="34" t="s">
        <v>252</v>
      </c>
      <c r="AH924" s="34" t="s">
        <v>971</v>
      </c>
    </row>
    <row r="925">
      <c r="AE925" s="34" t="s">
        <v>674</v>
      </c>
      <c r="AF925" s="34">
        <v>0.0</v>
      </c>
      <c r="AG925" s="34" t="s">
        <v>252</v>
      </c>
      <c r="AH925" s="34" t="s">
        <v>971</v>
      </c>
    </row>
    <row r="926">
      <c r="AE926" s="34" t="s">
        <v>674</v>
      </c>
      <c r="AF926" s="34">
        <v>0.0</v>
      </c>
      <c r="AG926" s="34" t="s">
        <v>252</v>
      </c>
      <c r="AH926" s="34" t="s">
        <v>971</v>
      </c>
    </row>
    <row r="927">
      <c r="AE927" s="34" t="s">
        <v>674</v>
      </c>
      <c r="AF927" s="34">
        <v>0.0</v>
      </c>
      <c r="AG927" s="34" t="s">
        <v>252</v>
      </c>
      <c r="AH927" s="34" t="s">
        <v>971</v>
      </c>
    </row>
    <row r="928">
      <c r="AE928" s="34" t="s">
        <v>674</v>
      </c>
      <c r="AF928" s="34">
        <v>0.0</v>
      </c>
      <c r="AG928" s="34" t="s">
        <v>252</v>
      </c>
      <c r="AH928" s="34" t="s">
        <v>971</v>
      </c>
    </row>
    <row r="929">
      <c r="AE929" s="34" t="s">
        <v>674</v>
      </c>
      <c r="AF929" s="34">
        <v>0.0</v>
      </c>
      <c r="AG929" s="34" t="s">
        <v>252</v>
      </c>
      <c r="AH929" s="34" t="s">
        <v>971</v>
      </c>
    </row>
    <row r="930">
      <c r="AE930" s="34" t="s">
        <v>674</v>
      </c>
      <c r="AF930" s="34">
        <v>0.0</v>
      </c>
      <c r="AG930" s="34" t="s">
        <v>252</v>
      </c>
      <c r="AH930" s="34" t="s">
        <v>971</v>
      </c>
    </row>
    <row r="931">
      <c r="AE931" s="34" t="s">
        <v>674</v>
      </c>
      <c r="AF931" s="34">
        <v>0.0</v>
      </c>
      <c r="AG931" s="34" t="s">
        <v>252</v>
      </c>
      <c r="AH931" s="34" t="s">
        <v>971</v>
      </c>
    </row>
    <row r="932">
      <c r="AE932" s="34" t="s">
        <v>674</v>
      </c>
      <c r="AF932" s="34">
        <v>0.0</v>
      </c>
      <c r="AG932" s="34" t="s">
        <v>252</v>
      </c>
      <c r="AH932" s="34" t="s">
        <v>971</v>
      </c>
    </row>
    <row r="933">
      <c r="AE933" s="34" t="s">
        <v>674</v>
      </c>
      <c r="AF933" s="34">
        <v>0.0</v>
      </c>
      <c r="AG933" s="34" t="s">
        <v>252</v>
      </c>
      <c r="AH933" s="34" t="s">
        <v>971</v>
      </c>
    </row>
    <row r="934">
      <c r="AE934" s="34" t="s">
        <v>674</v>
      </c>
      <c r="AF934" s="34">
        <v>0.0</v>
      </c>
      <c r="AG934" s="34" t="s">
        <v>252</v>
      </c>
      <c r="AH934" s="34" t="s">
        <v>971</v>
      </c>
    </row>
    <row r="935">
      <c r="AE935" s="34" t="s">
        <v>674</v>
      </c>
      <c r="AF935" s="34">
        <v>0.0</v>
      </c>
      <c r="AG935" s="34" t="s">
        <v>252</v>
      </c>
      <c r="AH935" s="34" t="s">
        <v>971</v>
      </c>
    </row>
    <row r="936">
      <c r="AE936" s="34" t="s">
        <v>674</v>
      </c>
      <c r="AF936" s="34">
        <v>0.0</v>
      </c>
      <c r="AG936" s="34" t="s">
        <v>252</v>
      </c>
      <c r="AH936" s="34" t="s">
        <v>971</v>
      </c>
    </row>
    <row r="937">
      <c r="AE937" s="34" t="s">
        <v>674</v>
      </c>
      <c r="AF937" s="34">
        <v>0.0</v>
      </c>
      <c r="AG937" s="34" t="s">
        <v>252</v>
      </c>
      <c r="AH937" s="34" t="s">
        <v>971</v>
      </c>
    </row>
    <row r="938">
      <c r="AE938" s="34" t="s">
        <v>674</v>
      </c>
      <c r="AF938" s="34">
        <v>0.0</v>
      </c>
      <c r="AG938" s="34" t="s">
        <v>252</v>
      </c>
      <c r="AH938" s="34" t="s">
        <v>971</v>
      </c>
    </row>
    <row r="939">
      <c r="AE939" s="34" t="s">
        <v>674</v>
      </c>
      <c r="AF939" s="34">
        <v>0.0</v>
      </c>
      <c r="AG939" s="34" t="s">
        <v>252</v>
      </c>
      <c r="AH939" s="34" t="s">
        <v>971</v>
      </c>
    </row>
    <row r="940">
      <c r="AE940" s="34" t="s">
        <v>674</v>
      </c>
      <c r="AF940" s="34">
        <v>0.0</v>
      </c>
      <c r="AG940" s="34" t="s">
        <v>252</v>
      </c>
      <c r="AH940" s="34" t="s">
        <v>971</v>
      </c>
    </row>
    <row r="941">
      <c r="AE941" s="34" t="s">
        <v>674</v>
      </c>
      <c r="AF941" s="34">
        <v>0.0</v>
      </c>
      <c r="AG941" s="34" t="s">
        <v>252</v>
      </c>
      <c r="AH941" s="34" t="s">
        <v>971</v>
      </c>
    </row>
    <row r="942">
      <c r="AE942" s="34" t="s">
        <v>674</v>
      </c>
      <c r="AF942" s="34">
        <v>0.0</v>
      </c>
      <c r="AG942" s="34" t="s">
        <v>252</v>
      </c>
      <c r="AH942" s="34" t="s">
        <v>971</v>
      </c>
    </row>
    <row r="943">
      <c r="AE943" s="34" t="s">
        <v>674</v>
      </c>
      <c r="AF943" s="34">
        <v>0.0</v>
      </c>
      <c r="AG943" s="34" t="s">
        <v>252</v>
      </c>
      <c r="AH943" s="34" t="s">
        <v>971</v>
      </c>
    </row>
    <row r="944">
      <c r="AE944" s="34" t="s">
        <v>674</v>
      </c>
      <c r="AF944" s="34">
        <v>0.0</v>
      </c>
      <c r="AG944" s="34" t="s">
        <v>252</v>
      </c>
      <c r="AH944" s="34" t="s">
        <v>971</v>
      </c>
    </row>
    <row r="945">
      <c r="AE945" s="34" t="s">
        <v>674</v>
      </c>
      <c r="AF945" s="34">
        <v>0.0</v>
      </c>
      <c r="AG945" s="34" t="s">
        <v>252</v>
      </c>
      <c r="AH945" s="34" t="s">
        <v>971</v>
      </c>
    </row>
    <row r="946">
      <c r="AE946" s="34" t="s">
        <v>674</v>
      </c>
      <c r="AF946" s="34">
        <v>0.0</v>
      </c>
      <c r="AG946" s="34" t="s">
        <v>252</v>
      </c>
      <c r="AH946" s="34" t="s">
        <v>971</v>
      </c>
    </row>
    <row r="947">
      <c r="AE947" s="34" t="s">
        <v>674</v>
      </c>
      <c r="AF947" s="34">
        <v>0.0</v>
      </c>
      <c r="AG947" s="34" t="s">
        <v>252</v>
      </c>
      <c r="AH947" s="34" t="s">
        <v>971</v>
      </c>
    </row>
    <row r="948">
      <c r="AE948" s="34" t="s">
        <v>674</v>
      </c>
      <c r="AF948" s="34">
        <v>0.0</v>
      </c>
      <c r="AG948" s="34" t="s">
        <v>252</v>
      </c>
      <c r="AH948" s="34" t="s">
        <v>971</v>
      </c>
    </row>
    <row r="949">
      <c r="AE949" s="34" t="s">
        <v>674</v>
      </c>
      <c r="AF949" s="34">
        <v>0.0</v>
      </c>
      <c r="AG949" s="34" t="s">
        <v>252</v>
      </c>
      <c r="AH949" s="34" t="s">
        <v>971</v>
      </c>
    </row>
    <row r="950">
      <c r="AE950" s="34" t="s">
        <v>674</v>
      </c>
      <c r="AF950" s="34">
        <v>0.0</v>
      </c>
      <c r="AG950" s="34" t="s">
        <v>252</v>
      </c>
      <c r="AH950" s="34" t="s">
        <v>971</v>
      </c>
    </row>
    <row r="951">
      <c r="AE951" s="34" t="s">
        <v>674</v>
      </c>
      <c r="AF951" s="34">
        <v>0.0</v>
      </c>
      <c r="AG951" s="34" t="s">
        <v>252</v>
      </c>
      <c r="AH951" s="34" t="s">
        <v>971</v>
      </c>
    </row>
    <row r="952">
      <c r="AE952" s="34" t="s">
        <v>674</v>
      </c>
      <c r="AF952" s="34">
        <v>0.0</v>
      </c>
      <c r="AG952" s="34" t="s">
        <v>252</v>
      </c>
      <c r="AH952" s="34" t="s">
        <v>971</v>
      </c>
    </row>
    <row r="953">
      <c r="AE953" s="34" t="s">
        <v>674</v>
      </c>
      <c r="AF953" s="34">
        <v>0.0</v>
      </c>
      <c r="AG953" s="34" t="s">
        <v>252</v>
      </c>
      <c r="AH953" s="34" t="s">
        <v>971</v>
      </c>
    </row>
    <row r="954">
      <c r="AE954" s="34" t="s">
        <v>674</v>
      </c>
      <c r="AF954" s="34">
        <v>0.0</v>
      </c>
      <c r="AG954" s="34" t="s">
        <v>252</v>
      </c>
      <c r="AH954" s="34" t="s">
        <v>971</v>
      </c>
    </row>
    <row r="955">
      <c r="AE955" s="34" t="s">
        <v>674</v>
      </c>
      <c r="AF955" s="34">
        <v>0.0</v>
      </c>
      <c r="AG955" s="34" t="s">
        <v>252</v>
      </c>
      <c r="AH955" s="34" t="s">
        <v>971</v>
      </c>
    </row>
    <row r="956">
      <c r="AE956" s="34" t="s">
        <v>674</v>
      </c>
      <c r="AF956" s="34">
        <v>0.0</v>
      </c>
      <c r="AG956" s="34" t="s">
        <v>252</v>
      </c>
      <c r="AH956" s="34" t="s">
        <v>971</v>
      </c>
    </row>
    <row r="957">
      <c r="AE957" s="34" t="s">
        <v>674</v>
      </c>
      <c r="AF957" s="34">
        <v>0.0</v>
      </c>
      <c r="AG957" s="34" t="s">
        <v>252</v>
      </c>
      <c r="AH957" s="34" t="s">
        <v>971</v>
      </c>
    </row>
    <row r="958">
      <c r="AE958" s="34" t="s">
        <v>674</v>
      </c>
      <c r="AF958" s="34">
        <v>0.0</v>
      </c>
      <c r="AG958" s="34" t="s">
        <v>252</v>
      </c>
      <c r="AH958" s="34" t="s">
        <v>971</v>
      </c>
    </row>
    <row r="959">
      <c r="AE959" s="34" t="s">
        <v>674</v>
      </c>
      <c r="AF959" s="34">
        <v>0.0</v>
      </c>
      <c r="AG959" s="34" t="s">
        <v>252</v>
      </c>
      <c r="AH959" s="34" t="s">
        <v>971</v>
      </c>
    </row>
    <row r="960">
      <c r="AE960" s="34" t="s">
        <v>674</v>
      </c>
      <c r="AF960" s="34">
        <v>0.0</v>
      </c>
      <c r="AG960" s="34" t="s">
        <v>252</v>
      </c>
      <c r="AH960" s="34" t="s">
        <v>971</v>
      </c>
    </row>
    <row r="961">
      <c r="AE961" s="34" t="s">
        <v>674</v>
      </c>
      <c r="AF961" s="34">
        <v>0.0</v>
      </c>
      <c r="AG961" s="34" t="s">
        <v>252</v>
      </c>
      <c r="AH961" s="34" t="s">
        <v>971</v>
      </c>
    </row>
    <row r="962">
      <c r="AE962" s="34" t="s">
        <v>674</v>
      </c>
      <c r="AF962" s="34">
        <v>0.0</v>
      </c>
      <c r="AG962" s="34" t="s">
        <v>252</v>
      </c>
      <c r="AH962" s="34" t="s">
        <v>971</v>
      </c>
    </row>
    <row r="963">
      <c r="AE963" s="34" t="s">
        <v>674</v>
      </c>
      <c r="AF963" s="34">
        <v>0.0</v>
      </c>
      <c r="AG963" s="34" t="s">
        <v>252</v>
      </c>
      <c r="AH963" s="34" t="s">
        <v>971</v>
      </c>
    </row>
    <row r="964">
      <c r="AE964" s="34" t="s">
        <v>674</v>
      </c>
      <c r="AF964" s="34">
        <v>0.0</v>
      </c>
      <c r="AG964" s="34" t="s">
        <v>252</v>
      </c>
      <c r="AH964" s="34" t="s">
        <v>971</v>
      </c>
    </row>
    <row r="965">
      <c r="AE965" s="34" t="s">
        <v>674</v>
      </c>
      <c r="AF965" s="34">
        <v>0.0</v>
      </c>
      <c r="AG965" s="34" t="s">
        <v>252</v>
      </c>
      <c r="AH965" s="34" t="s">
        <v>971</v>
      </c>
    </row>
    <row r="966">
      <c r="AE966" s="34" t="s">
        <v>674</v>
      </c>
      <c r="AF966" s="34">
        <v>0.0</v>
      </c>
      <c r="AG966" s="34" t="s">
        <v>252</v>
      </c>
      <c r="AH966" s="34" t="s">
        <v>971</v>
      </c>
    </row>
    <row r="967">
      <c r="AE967" s="34" t="s">
        <v>674</v>
      </c>
      <c r="AF967" s="34">
        <v>0.0</v>
      </c>
      <c r="AG967" s="34" t="s">
        <v>252</v>
      </c>
      <c r="AH967" s="34" t="s">
        <v>971</v>
      </c>
    </row>
    <row r="968">
      <c r="AE968" s="34" t="s">
        <v>674</v>
      </c>
      <c r="AF968" s="34">
        <v>0.0</v>
      </c>
      <c r="AG968" s="34" t="s">
        <v>252</v>
      </c>
      <c r="AH968" s="34" t="s">
        <v>971</v>
      </c>
    </row>
    <row r="969">
      <c r="AE969" s="34" t="s">
        <v>674</v>
      </c>
      <c r="AF969" s="34">
        <v>0.0</v>
      </c>
      <c r="AG969" s="34" t="s">
        <v>252</v>
      </c>
      <c r="AH969" s="34" t="s">
        <v>971</v>
      </c>
    </row>
    <row r="970">
      <c r="AE970" s="34" t="s">
        <v>674</v>
      </c>
      <c r="AF970" s="34">
        <v>0.0</v>
      </c>
      <c r="AG970" s="34" t="s">
        <v>252</v>
      </c>
      <c r="AH970" s="34" t="s">
        <v>971</v>
      </c>
    </row>
    <row r="971">
      <c r="AE971" s="34" t="s">
        <v>674</v>
      </c>
      <c r="AF971" s="34">
        <v>0.0</v>
      </c>
      <c r="AG971" s="34" t="s">
        <v>252</v>
      </c>
      <c r="AH971" s="34" t="s">
        <v>971</v>
      </c>
    </row>
    <row r="972">
      <c r="AE972" s="34" t="s">
        <v>674</v>
      </c>
      <c r="AF972" s="34">
        <v>0.0</v>
      </c>
      <c r="AG972" s="34" t="s">
        <v>252</v>
      </c>
      <c r="AH972" s="34" t="s">
        <v>971</v>
      </c>
    </row>
    <row r="973">
      <c r="AE973" s="34" t="s">
        <v>674</v>
      </c>
      <c r="AF973" s="34">
        <v>0.0</v>
      </c>
      <c r="AG973" s="34" t="s">
        <v>252</v>
      </c>
      <c r="AH973" s="34" t="s">
        <v>971</v>
      </c>
    </row>
    <row r="974">
      <c r="AE974" s="34" t="s">
        <v>674</v>
      </c>
      <c r="AF974" s="34">
        <v>0.0</v>
      </c>
      <c r="AG974" s="34" t="s">
        <v>252</v>
      </c>
      <c r="AH974" s="34" t="s">
        <v>971</v>
      </c>
    </row>
    <row r="975">
      <c r="AE975" s="34" t="s">
        <v>674</v>
      </c>
      <c r="AF975" s="34">
        <v>0.0</v>
      </c>
      <c r="AG975" s="34" t="s">
        <v>252</v>
      </c>
      <c r="AH975" s="34" t="s">
        <v>971</v>
      </c>
    </row>
    <row r="976">
      <c r="AE976" s="34" t="s">
        <v>674</v>
      </c>
      <c r="AF976" s="34">
        <v>0.0</v>
      </c>
      <c r="AG976" s="34" t="s">
        <v>252</v>
      </c>
      <c r="AH976" s="34" t="s">
        <v>971</v>
      </c>
    </row>
    <row r="977">
      <c r="AE977" s="34" t="s">
        <v>674</v>
      </c>
      <c r="AF977" s="34">
        <v>0.0</v>
      </c>
      <c r="AG977" s="34" t="s">
        <v>252</v>
      </c>
      <c r="AH977" s="34" t="s">
        <v>971</v>
      </c>
    </row>
    <row r="978">
      <c r="AE978" s="34" t="s">
        <v>674</v>
      </c>
      <c r="AF978" s="34">
        <v>0.0</v>
      </c>
      <c r="AG978" s="34" t="s">
        <v>252</v>
      </c>
      <c r="AH978" s="34" t="s">
        <v>971</v>
      </c>
    </row>
    <row r="979">
      <c r="AE979" s="34" t="s">
        <v>674</v>
      </c>
      <c r="AF979" s="34">
        <v>0.0</v>
      </c>
      <c r="AG979" s="34" t="s">
        <v>252</v>
      </c>
      <c r="AH979" s="34" t="s">
        <v>971</v>
      </c>
    </row>
    <row r="980">
      <c r="AE980" s="34" t="s">
        <v>674</v>
      </c>
      <c r="AF980" s="34">
        <v>0.0</v>
      </c>
      <c r="AG980" s="34" t="s">
        <v>252</v>
      </c>
      <c r="AH980" s="34" t="s">
        <v>971</v>
      </c>
    </row>
    <row r="981">
      <c r="AE981" s="34" t="s">
        <v>674</v>
      </c>
      <c r="AF981" s="34">
        <v>0.0</v>
      </c>
      <c r="AG981" s="34" t="s">
        <v>252</v>
      </c>
      <c r="AH981" s="34" t="s">
        <v>971</v>
      </c>
    </row>
    <row r="982">
      <c r="AE982" s="34" t="s">
        <v>674</v>
      </c>
      <c r="AF982" s="34">
        <v>0.0</v>
      </c>
      <c r="AG982" s="34" t="s">
        <v>252</v>
      </c>
      <c r="AH982" s="34" t="s">
        <v>971</v>
      </c>
    </row>
    <row r="983">
      <c r="AE983" s="34" t="s">
        <v>674</v>
      </c>
      <c r="AF983" s="34">
        <v>0.0</v>
      </c>
      <c r="AG983" s="34" t="s">
        <v>252</v>
      </c>
      <c r="AH983" s="34" t="s">
        <v>971</v>
      </c>
    </row>
    <row r="984">
      <c r="AE984" s="34" t="s">
        <v>674</v>
      </c>
      <c r="AF984" s="34">
        <v>0.0</v>
      </c>
      <c r="AG984" s="34" t="s">
        <v>252</v>
      </c>
      <c r="AH984" s="34" t="s">
        <v>971</v>
      </c>
    </row>
    <row r="985">
      <c r="AE985" s="34" t="s">
        <v>674</v>
      </c>
      <c r="AF985" s="34">
        <v>0.0</v>
      </c>
      <c r="AG985" s="34" t="s">
        <v>252</v>
      </c>
      <c r="AH985" s="34" t="s">
        <v>971</v>
      </c>
    </row>
    <row r="986">
      <c r="AE986" s="34" t="s">
        <v>674</v>
      </c>
      <c r="AF986" s="34">
        <v>0.0</v>
      </c>
      <c r="AG986" s="34" t="s">
        <v>252</v>
      </c>
      <c r="AH986" s="34" t="s">
        <v>971</v>
      </c>
    </row>
    <row r="987">
      <c r="AE987" s="34" t="s">
        <v>674</v>
      </c>
      <c r="AF987" s="34">
        <v>0.0</v>
      </c>
      <c r="AG987" s="34" t="s">
        <v>252</v>
      </c>
      <c r="AH987" s="34" t="s">
        <v>971</v>
      </c>
    </row>
    <row r="988">
      <c r="AE988" s="34" t="s">
        <v>674</v>
      </c>
      <c r="AF988" s="34">
        <v>0.0</v>
      </c>
      <c r="AG988" s="34" t="s">
        <v>252</v>
      </c>
      <c r="AH988" s="34" t="s">
        <v>971</v>
      </c>
    </row>
    <row r="989">
      <c r="AE989" s="34" t="s">
        <v>674</v>
      </c>
      <c r="AF989" s="34">
        <v>0.0</v>
      </c>
      <c r="AG989" s="34" t="s">
        <v>252</v>
      </c>
      <c r="AH989" s="34" t="s">
        <v>971</v>
      </c>
    </row>
    <row r="990">
      <c r="AE990" s="34" t="s">
        <v>674</v>
      </c>
      <c r="AF990" s="34">
        <v>0.0</v>
      </c>
      <c r="AG990" s="34" t="s">
        <v>252</v>
      </c>
      <c r="AH990" s="34" t="s">
        <v>971</v>
      </c>
    </row>
    <row r="991">
      <c r="AE991" s="34" t="s">
        <v>674</v>
      </c>
      <c r="AF991" s="34">
        <v>0.0</v>
      </c>
      <c r="AG991" s="34" t="s">
        <v>252</v>
      </c>
      <c r="AH991" s="34" t="s">
        <v>971</v>
      </c>
    </row>
    <row r="992">
      <c r="AE992" s="34" t="s">
        <v>674</v>
      </c>
      <c r="AF992" s="34">
        <v>0.0</v>
      </c>
      <c r="AG992" s="34" t="s">
        <v>252</v>
      </c>
      <c r="AH992" s="34" t="s">
        <v>971</v>
      </c>
    </row>
    <row r="993">
      <c r="AE993" s="34" t="s">
        <v>674</v>
      </c>
      <c r="AF993" s="34">
        <v>0.0</v>
      </c>
      <c r="AG993" s="34" t="s">
        <v>252</v>
      </c>
      <c r="AH993" s="34" t="s">
        <v>971</v>
      </c>
    </row>
    <row r="994">
      <c r="AE994" s="34" t="s">
        <v>674</v>
      </c>
      <c r="AF994" s="34">
        <v>0.0</v>
      </c>
      <c r="AG994" s="34" t="s">
        <v>252</v>
      </c>
      <c r="AH994" s="34" t="s">
        <v>971</v>
      </c>
    </row>
    <row r="995">
      <c r="AE995" s="34" t="s">
        <v>674</v>
      </c>
      <c r="AF995" s="34">
        <v>0.0</v>
      </c>
      <c r="AG995" s="34" t="s">
        <v>252</v>
      </c>
      <c r="AH995" s="34" t="s">
        <v>971</v>
      </c>
    </row>
    <row r="996">
      <c r="AE996" s="34" t="s">
        <v>674</v>
      </c>
      <c r="AF996" s="34">
        <v>0.0</v>
      </c>
      <c r="AG996" s="34" t="s">
        <v>252</v>
      </c>
      <c r="AH996" s="34" t="s">
        <v>971</v>
      </c>
    </row>
    <row r="997">
      <c r="AE997" s="34" t="s">
        <v>674</v>
      </c>
      <c r="AF997" s="34">
        <v>0.0</v>
      </c>
      <c r="AG997" s="34" t="s">
        <v>252</v>
      </c>
      <c r="AH997" s="34" t="s">
        <v>971</v>
      </c>
    </row>
    <row r="998">
      <c r="AE998" s="34" t="s">
        <v>674</v>
      </c>
      <c r="AF998" s="34">
        <v>0.0</v>
      </c>
      <c r="AG998" s="34" t="s">
        <v>252</v>
      </c>
      <c r="AH998" s="34" t="s">
        <v>971</v>
      </c>
    </row>
    <row r="999">
      <c r="AE999" s="34" t="s">
        <v>674</v>
      </c>
      <c r="AF999" s="34">
        <v>0.0</v>
      </c>
      <c r="AG999" s="34" t="s">
        <v>252</v>
      </c>
      <c r="AH999" s="34" t="s">
        <v>971</v>
      </c>
    </row>
    <row r="1000">
      <c r="AE1000" s="34" t="s">
        <v>674</v>
      </c>
      <c r="AF1000" s="34">
        <v>0.0</v>
      </c>
      <c r="AG1000" s="34" t="s">
        <v>252</v>
      </c>
      <c r="AH1000" s="34" t="s">
        <v>971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5.25"/>
    <col customWidth="1" min="12" max="12" width="17.63"/>
  </cols>
  <sheetData>
    <row r="1">
      <c r="A1" s="28" t="s">
        <v>1</v>
      </c>
      <c r="B1" s="28" t="s">
        <v>5</v>
      </c>
      <c r="C1" s="28" t="s">
        <v>981</v>
      </c>
      <c r="D1" s="28" t="s">
        <v>982</v>
      </c>
      <c r="E1" s="28" t="s">
        <v>983</v>
      </c>
      <c r="F1" s="28" t="s">
        <v>984</v>
      </c>
      <c r="G1" s="28" t="s">
        <v>986</v>
      </c>
      <c r="H1" s="28" t="s">
        <v>987</v>
      </c>
      <c r="I1" s="28" t="s">
        <v>988</v>
      </c>
      <c r="J1" s="28" t="s">
        <v>143</v>
      </c>
      <c r="K1" s="28" t="s">
        <v>141</v>
      </c>
      <c r="L1" s="28" t="s">
        <v>962</v>
      </c>
      <c r="M1" s="29"/>
      <c r="N1" s="29"/>
      <c r="O1" s="29"/>
      <c r="P1" s="29"/>
      <c r="Q1" s="29"/>
      <c r="R1" s="29"/>
      <c r="S1" s="29"/>
      <c r="T1" s="29"/>
      <c r="U1" s="29"/>
      <c r="V1" s="29"/>
      <c r="W1" s="29"/>
      <c r="X1" s="29"/>
      <c r="Y1" s="29"/>
      <c r="Z1" s="29"/>
    </row>
    <row r="2">
      <c r="A2" s="3" t="s">
        <v>991</v>
      </c>
      <c r="B2" s="3" t="s">
        <v>992</v>
      </c>
      <c r="C2" s="3">
        <v>0.0</v>
      </c>
      <c r="D2" s="3">
        <v>3.0</v>
      </c>
      <c r="E2" s="3">
        <v>1.0</v>
      </c>
      <c r="F2" s="3">
        <v>2.0</v>
      </c>
      <c r="G2" s="3">
        <v>2.0</v>
      </c>
      <c r="H2" s="3">
        <v>34.0</v>
      </c>
      <c r="I2" s="3" t="s">
        <v>127</v>
      </c>
      <c r="J2" s="3" t="s">
        <v>129</v>
      </c>
      <c r="K2" s="3" t="s">
        <v>164</v>
      </c>
      <c r="L2" s="3" t="s">
        <v>208</v>
      </c>
    </row>
    <row r="3">
      <c r="A3" s="3" t="s">
        <v>993</v>
      </c>
      <c r="B3" s="3" t="s">
        <v>994</v>
      </c>
      <c r="C3" s="3">
        <v>1.0</v>
      </c>
      <c r="D3" s="3">
        <v>1.0</v>
      </c>
      <c r="E3" s="3">
        <v>1.0</v>
      </c>
      <c r="F3" s="3">
        <v>3.0</v>
      </c>
      <c r="G3" s="3">
        <v>0.0</v>
      </c>
      <c r="H3" s="3">
        <v>30.0</v>
      </c>
      <c r="I3" s="3" t="s">
        <v>996</v>
      </c>
      <c r="J3" s="3" t="s">
        <v>132</v>
      </c>
      <c r="K3" s="3" t="s">
        <v>252</v>
      </c>
      <c r="L3" s="3" t="s">
        <v>971</v>
      </c>
    </row>
    <row r="4">
      <c r="A4" s="3" t="s">
        <v>997</v>
      </c>
      <c r="B4" s="3" t="s">
        <v>998</v>
      </c>
      <c r="C4" s="3">
        <v>3.0</v>
      </c>
      <c r="D4" s="3">
        <v>2.0</v>
      </c>
      <c r="E4" s="3">
        <v>3.0</v>
      </c>
      <c r="F4" s="3">
        <v>3.0</v>
      </c>
      <c r="G4" s="3">
        <v>0.0</v>
      </c>
      <c r="H4" s="3">
        <v>50.0</v>
      </c>
      <c r="I4" s="3" t="s">
        <v>996</v>
      </c>
      <c r="J4" s="3" t="s">
        <v>131</v>
      </c>
      <c r="K4" s="3" t="s">
        <v>313</v>
      </c>
      <c r="L4" s="3" t="s">
        <v>985</v>
      </c>
    </row>
    <row r="5">
      <c r="A5" s="3" t="s">
        <v>999</v>
      </c>
      <c r="B5" s="3" t="s">
        <v>1000</v>
      </c>
      <c r="C5" s="3">
        <v>1.0</v>
      </c>
      <c r="D5" s="3">
        <v>1.0</v>
      </c>
      <c r="E5" s="3">
        <v>1.0</v>
      </c>
      <c r="F5" s="3">
        <v>3.0</v>
      </c>
      <c r="G5" s="3">
        <v>0.0</v>
      </c>
      <c r="H5" s="3">
        <v>30.0</v>
      </c>
      <c r="I5" s="3" t="s">
        <v>996</v>
      </c>
      <c r="J5" s="3" t="s">
        <v>132</v>
      </c>
      <c r="K5" s="3" t="s">
        <v>252</v>
      </c>
      <c r="L5" s="3" t="s">
        <v>971</v>
      </c>
    </row>
    <row r="6">
      <c r="A6" s="3" t="s">
        <v>1002</v>
      </c>
      <c r="B6" s="3" t="s">
        <v>1003</v>
      </c>
      <c r="C6" s="3">
        <v>5.0</v>
      </c>
      <c r="D6" s="3">
        <v>2.0</v>
      </c>
      <c r="E6" s="3">
        <v>5.0</v>
      </c>
      <c r="F6" s="3">
        <v>4.0</v>
      </c>
      <c r="G6" s="3">
        <v>0.0</v>
      </c>
      <c r="H6" s="3">
        <v>72.0</v>
      </c>
      <c r="I6" s="3" t="s">
        <v>996</v>
      </c>
      <c r="J6" s="3" t="s">
        <v>131</v>
      </c>
      <c r="K6" s="3" t="s">
        <v>374</v>
      </c>
      <c r="L6" s="3" t="s">
        <v>1005</v>
      </c>
    </row>
    <row r="7">
      <c r="A7" s="3" t="s">
        <v>1006</v>
      </c>
      <c r="B7" s="3" t="s">
        <v>1007</v>
      </c>
      <c r="C7" s="3">
        <v>3.0</v>
      </c>
      <c r="D7" s="3">
        <v>1.0</v>
      </c>
      <c r="E7" s="3">
        <v>1.0</v>
      </c>
      <c r="F7" s="3">
        <v>3.0</v>
      </c>
      <c r="G7" s="3">
        <v>1.0</v>
      </c>
      <c r="H7" s="3">
        <v>36.0</v>
      </c>
      <c r="I7" s="3" t="s">
        <v>131</v>
      </c>
      <c r="J7" s="3" t="s">
        <v>132</v>
      </c>
      <c r="K7" s="3" t="s">
        <v>164</v>
      </c>
      <c r="L7" s="3" t="s">
        <v>208</v>
      </c>
    </row>
    <row r="8">
      <c r="A8" s="3" t="s">
        <v>495</v>
      </c>
      <c r="B8" s="3" t="s">
        <v>1008</v>
      </c>
      <c r="C8" s="3">
        <v>5.0</v>
      </c>
      <c r="D8" s="3">
        <v>0.0</v>
      </c>
      <c r="E8" s="3">
        <v>0.0</v>
      </c>
      <c r="F8" s="3">
        <v>3.0</v>
      </c>
      <c r="G8" s="3">
        <v>0.0</v>
      </c>
      <c r="H8" s="3">
        <v>28.0</v>
      </c>
      <c r="I8" s="3" t="s">
        <v>131</v>
      </c>
      <c r="J8" s="3" t="s">
        <v>127</v>
      </c>
      <c r="K8" s="3" t="s">
        <v>252</v>
      </c>
      <c r="L8" s="3" t="s">
        <v>971</v>
      </c>
    </row>
    <row r="9">
      <c r="A9" s="3" t="s">
        <v>693</v>
      </c>
      <c r="B9" s="3" t="s">
        <v>694</v>
      </c>
      <c r="C9" s="3">
        <v>2.0</v>
      </c>
      <c r="D9" s="3">
        <v>0.0</v>
      </c>
      <c r="E9" s="3">
        <v>3.0</v>
      </c>
      <c r="F9" s="3">
        <v>4.0</v>
      </c>
      <c r="G9" s="3">
        <v>0.0</v>
      </c>
      <c r="H9" s="3">
        <v>46.0</v>
      </c>
      <c r="I9" s="3" t="s">
        <v>131</v>
      </c>
      <c r="J9" s="3" t="s">
        <v>132</v>
      </c>
      <c r="K9" s="3" t="s">
        <v>164</v>
      </c>
      <c r="L9" s="3" t="s">
        <v>208</v>
      </c>
    </row>
    <row r="10">
      <c r="A10" s="3" t="s">
        <v>949</v>
      </c>
      <c r="B10" s="3" t="s">
        <v>1009</v>
      </c>
      <c r="C10" s="3">
        <v>3.0</v>
      </c>
      <c r="D10" s="3">
        <v>5.0</v>
      </c>
      <c r="E10" s="3">
        <v>4.0</v>
      </c>
      <c r="F10" s="3">
        <v>4.0</v>
      </c>
      <c r="G10" s="3">
        <v>4.0</v>
      </c>
      <c r="H10" s="3">
        <v>82.0</v>
      </c>
      <c r="I10" s="3" t="s">
        <v>127</v>
      </c>
      <c r="J10" s="3" t="s">
        <v>129</v>
      </c>
      <c r="K10" s="3" t="s">
        <v>522</v>
      </c>
      <c r="L10" s="3" t="s">
        <v>1011</v>
      </c>
    </row>
    <row r="11">
      <c r="A11" s="3" t="s">
        <v>1012</v>
      </c>
      <c r="B11" s="3" t="s">
        <v>1013</v>
      </c>
      <c r="C11" s="3">
        <v>2.0</v>
      </c>
      <c r="D11" s="3">
        <v>2.0</v>
      </c>
      <c r="E11" s="3">
        <v>2.0</v>
      </c>
      <c r="F11" s="3">
        <v>1.0</v>
      </c>
      <c r="G11" s="3">
        <v>0.0</v>
      </c>
      <c r="H11" s="3">
        <v>30.0</v>
      </c>
      <c r="I11" s="3" t="s">
        <v>996</v>
      </c>
      <c r="J11" s="3" t="s">
        <v>131</v>
      </c>
      <c r="K11" s="3" t="s">
        <v>252</v>
      </c>
      <c r="L11" s="3" t="s">
        <v>971</v>
      </c>
    </row>
    <row r="12">
      <c r="A12" s="3" t="s">
        <v>1015</v>
      </c>
      <c r="B12" s="3" t="s">
        <v>1016</v>
      </c>
      <c r="C12" s="3">
        <v>0.0</v>
      </c>
      <c r="D12" s="3">
        <v>0.0</v>
      </c>
      <c r="E12" s="3">
        <v>0.0</v>
      </c>
      <c r="F12" s="3">
        <v>3.0</v>
      </c>
      <c r="G12" s="3">
        <v>0.0</v>
      </c>
      <c r="H12" s="3">
        <v>18.0</v>
      </c>
      <c r="I12" s="3" t="s">
        <v>131</v>
      </c>
      <c r="J12" s="3" t="s">
        <v>132</v>
      </c>
      <c r="K12" s="3" t="s">
        <v>252</v>
      </c>
      <c r="L12" s="3" t="s">
        <v>971</v>
      </c>
    </row>
    <row r="13">
      <c r="A13" s="3" t="s">
        <v>1017</v>
      </c>
      <c r="B13" s="3" t="s">
        <v>1018</v>
      </c>
      <c r="C13" s="3">
        <v>3.0</v>
      </c>
      <c r="D13" s="3">
        <v>2.0</v>
      </c>
      <c r="E13" s="3">
        <v>3.0</v>
      </c>
      <c r="F13" s="3">
        <v>4.0</v>
      </c>
      <c r="G13" s="3">
        <v>0.0</v>
      </c>
      <c r="H13" s="3">
        <v>56.0</v>
      </c>
      <c r="I13" s="3" t="s">
        <v>996</v>
      </c>
      <c r="J13" s="3" t="s">
        <v>132</v>
      </c>
      <c r="K13" s="3" t="s">
        <v>313</v>
      </c>
      <c r="L13" s="3" t="s">
        <v>985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0"/>
    <col customWidth="1" min="2" max="2" width="26.63"/>
    <col customWidth="1" min="3" max="3" width="40.88"/>
    <col customWidth="1" min="4" max="4" width="21.0"/>
    <col customWidth="1" min="5" max="5" width="24.75"/>
  </cols>
  <sheetData>
    <row r="1">
      <c r="A1" s="1" t="s">
        <v>1051</v>
      </c>
      <c r="B1" s="2" t="s">
        <v>1052</v>
      </c>
      <c r="C1" s="2" t="s">
        <v>1053</v>
      </c>
      <c r="D1" s="1" t="s">
        <v>1054</v>
      </c>
      <c r="E1" s="1" t="s">
        <v>9</v>
      </c>
      <c r="F1" s="3" t="s">
        <v>5</v>
      </c>
    </row>
    <row r="2">
      <c r="A2" s="3" t="s">
        <v>424</v>
      </c>
      <c r="B2" s="6" t="s">
        <v>1055</v>
      </c>
      <c r="C2" s="6" t="s">
        <v>1056</v>
      </c>
      <c r="D2" s="3" t="s">
        <v>1057</v>
      </c>
      <c r="E2" s="3" t="s">
        <v>1058</v>
      </c>
    </row>
    <row r="3">
      <c r="A3" s="3" t="s">
        <v>1059</v>
      </c>
      <c r="B3" s="6" t="s">
        <v>1060</v>
      </c>
      <c r="C3" s="6" t="s">
        <v>1061</v>
      </c>
      <c r="D3" s="3" t="s">
        <v>1057</v>
      </c>
      <c r="E3" s="3" t="s">
        <v>1062</v>
      </c>
    </row>
    <row r="4">
      <c r="A4" s="3" t="s">
        <v>1064</v>
      </c>
      <c r="B4" s="6" t="s">
        <v>1066</v>
      </c>
      <c r="C4" s="6" t="s">
        <v>1067</v>
      </c>
      <c r="D4" s="3" t="s">
        <v>1057</v>
      </c>
      <c r="E4" s="3" t="s">
        <v>1069</v>
      </c>
    </row>
    <row r="5">
      <c r="A5" s="3" t="s">
        <v>424</v>
      </c>
      <c r="B5" s="6" t="s">
        <v>1055</v>
      </c>
      <c r="C5" s="6" t="s">
        <v>1056</v>
      </c>
      <c r="D5" s="3" t="s">
        <v>1057</v>
      </c>
      <c r="E5" s="3" t="s">
        <v>1071</v>
      </c>
    </row>
    <row r="6">
      <c r="A6" s="3" t="s">
        <v>1072</v>
      </c>
      <c r="B6" s="6" t="s">
        <v>1073</v>
      </c>
      <c r="C6" s="6" t="s">
        <v>1074</v>
      </c>
      <c r="D6" s="3" t="s">
        <v>1075</v>
      </c>
      <c r="E6" s="3" t="s">
        <v>1076</v>
      </c>
    </row>
    <row r="7">
      <c r="A7" s="3" t="s">
        <v>1077</v>
      </c>
      <c r="B7" s="6" t="s">
        <v>1078</v>
      </c>
      <c r="C7" s="6" t="s">
        <v>1079</v>
      </c>
      <c r="D7" s="3" t="s">
        <v>1080</v>
      </c>
      <c r="F7" s="3" t="s">
        <v>1081</v>
      </c>
    </row>
    <row r="8">
      <c r="A8" s="3" t="s">
        <v>836</v>
      </c>
      <c r="B8" s="6" t="s">
        <v>1082</v>
      </c>
      <c r="C8" s="6" t="s">
        <v>1083</v>
      </c>
      <c r="D8" s="3" t="s">
        <v>1080</v>
      </c>
      <c r="F8" s="3" t="s">
        <v>1084</v>
      </c>
    </row>
    <row r="9">
      <c r="A9" s="3" t="s">
        <v>1085</v>
      </c>
      <c r="B9" s="6" t="s">
        <v>1086</v>
      </c>
      <c r="C9" s="6" t="s">
        <v>1087</v>
      </c>
      <c r="D9" s="3" t="s">
        <v>1080</v>
      </c>
      <c r="F9" s="3" t="s">
        <v>1088</v>
      </c>
    </row>
    <row r="10">
      <c r="A10" s="3" t="s">
        <v>1089</v>
      </c>
      <c r="B10" s="6" t="s">
        <v>1090</v>
      </c>
      <c r="C10" s="6" t="s">
        <v>1091</v>
      </c>
      <c r="D10" s="3" t="s">
        <v>1080</v>
      </c>
      <c r="F10" s="3" t="s">
        <v>1092</v>
      </c>
    </row>
    <row r="11">
      <c r="A11" s="3" t="s">
        <v>1093</v>
      </c>
      <c r="B11" s="6" t="s">
        <v>1094</v>
      </c>
      <c r="C11" s="26"/>
      <c r="D11" s="3" t="s">
        <v>1080</v>
      </c>
      <c r="F11" s="3" t="s">
        <v>1096</v>
      </c>
    </row>
    <row r="12">
      <c r="A12" s="3" t="s">
        <v>1098</v>
      </c>
      <c r="B12" s="6" t="s">
        <v>1086</v>
      </c>
      <c r="C12" s="6" t="s">
        <v>1099</v>
      </c>
      <c r="D12" s="3" t="s">
        <v>1080</v>
      </c>
      <c r="F12" s="3" t="s">
        <v>1101</v>
      </c>
    </row>
    <row r="13">
      <c r="A13" s="3" t="s">
        <v>1103</v>
      </c>
      <c r="B13" s="6" t="s">
        <v>1104</v>
      </c>
      <c r="C13" s="6" t="s">
        <v>1105</v>
      </c>
      <c r="D13" s="3" t="s">
        <v>1080</v>
      </c>
      <c r="F13" s="3" t="s">
        <v>1106</v>
      </c>
    </row>
    <row r="14">
      <c r="B14" s="26"/>
      <c r="C14" s="26"/>
    </row>
    <row r="15">
      <c r="B15" s="26"/>
      <c r="C15" s="26"/>
    </row>
    <row r="16">
      <c r="B16" s="26"/>
      <c r="C16" s="26"/>
    </row>
    <row r="17">
      <c r="B17" s="26"/>
      <c r="C17" s="26"/>
    </row>
    <row r="18">
      <c r="B18" s="26"/>
      <c r="C18" s="26"/>
    </row>
    <row r="19">
      <c r="B19" s="26"/>
      <c r="C19" s="26"/>
    </row>
    <row r="20">
      <c r="B20" s="26"/>
      <c r="C20" s="26"/>
    </row>
    <row r="21">
      <c r="B21" s="26"/>
      <c r="C21" s="26"/>
    </row>
    <row r="22">
      <c r="B22" s="26"/>
      <c r="C22" s="26"/>
    </row>
    <row r="23">
      <c r="B23" s="26"/>
      <c r="C23" s="26"/>
    </row>
    <row r="24">
      <c r="B24" s="26"/>
      <c r="C24" s="26"/>
    </row>
    <row r="25">
      <c r="B25" s="26"/>
      <c r="C25" s="26"/>
    </row>
    <row r="26">
      <c r="B26" s="26"/>
      <c r="C26" s="26"/>
    </row>
    <row r="27">
      <c r="B27" s="26"/>
      <c r="C27" s="26"/>
    </row>
    <row r="28">
      <c r="B28" s="26"/>
      <c r="C28" s="26"/>
    </row>
    <row r="29">
      <c r="B29" s="26"/>
      <c r="C29" s="26"/>
    </row>
    <row r="30">
      <c r="B30" s="26"/>
      <c r="C30" s="26"/>
    </row>
    <row r="31">
      <c r="B31" s="26"/>
      <c r="C31" s="26"/>
    </row>
    <row r="32">
      <c r="B32" s="26"/>
      <c r="C32" s="26"/>
    </row>
    <row r="33">
      <c r="B33" s="26"/>
      <c r="C33" s="26"/>
    </row>
    <row r="34">
      <c r="B34" s="26"/>
      <c r="C34" s="26"/>
    </row>
    <row r="35">
      <c r="B35" s="26"/>
      <c r="C35" s="26"/>
    </row>
    <row r="36">
      <c r="B36" s="26"/>
      <c r="C36" s="26"/>
    </row>
    <row r="37">
      <c r="B37" s="26"/>
      <c r="C37" s="26"/>
    </row>
    <row r="38">
      <c r="B38" s="26"/>
      <c r="C38" s="26"/>
    </row>
    <row r="39">
      <c r="B39" s="26"/>
      <c r="C39" s="26"/>
    </row>
    <row r="40">
      <c r="B40" s="26"/>
      <c r="C40" s="26"/>
    </row>
    <row r="41">
      <c r="B41" s="26"/>
      <c r="C41" s="26"/>
    </row>
    <row r="42">
      <c r="B42" s="26"/>
      <c r="C42" s="26"/>
    </row>
    <row r="43">
      <c r="B43" s="26"/>
      <c r="C43" s="26"/>
    </row>
    <row r="44">
      <c r="B44" s="26"/>
      <c r="C44" s="26"/>
    </row>
    <row r="45">
      <c r="B45" s="26"/>
      <c r="C45" s="26"/>
    </row>
    <row r="46">
      <c r="B46" s="26"/>
      <c r="C46" s="26"/>
    </row>
    <row r="47">
      <c r="B47" s="26"/>
      <c r="C47" s="26"/>
    </row>
    <row r="48">
      <c r="B48" s="26"/>
      <c r="C48" s="26"/>
    </row>
    <row r="49">
      <c r="B49" s="26"/>
      <c r="C49" s="26"/>
    </row>
    <row r="50">
      <c r="B50" s="26"/>
      <c r="C50" s="26"/>
    </row>
    <row r="51">
      <c r="B51" s="26"/>
      <c r="C51" s="26"/>
    </row>
    <row r="52">
      <c r="B52" s="26"/>
      <c r="C52" s="26"/>
    </row>
    <row r="53">
      <c r="B53" s="26"/>
      <c r="C53" s="26"/>
    </row>
    <row r="54">
      <c r="B54" s="26"/>
      <c r="C54" s="26"/>
    </row>
    <row r="55">
      <c r="B55" s="26"/>
      <c r="C55" s="26"/>
    </row>
    <row r="56">
      <c r="B56" s="26"/>
      <c r="C56" s="26"/>
    </row>
    <row r="57">
      <c r="B57" s="26"/>
      <c r="C57" s="26"/>
    </row>
    <row r="58">
      <c r="B58" s="26"/>
      <c r="C58" s="26"/>
    </row>
    <row r="59">
      <c r="B59" s="26"/>
      <c r="C59" s="26"/>
    </row>
    <row r="60">
      <c r="B60" s="26"/>
      <c r="C60" s="26"/>
    </row>
    <row r="61">
      <c r="B61" s="26"/>
      <c r="C61" s="26"/>
    </row>
    <row r="62">
      <c r="B62" s="26"/>
      <c r="C62" s="26"/>
    </row>
    <row r="63">
      <c r="B63" s="26"/>
      <c r="C63" s="26"/>
    </row>
    <row r="64">
      <c r="B64" s="26"/>
      <c r="C64" s="26"/>
    </row>
    <row r="65">
      <c r="B65" s="26"/>
      <c r="C65" s="26"/>
    </row>
    <row r="66">
      <c r="B66" s="26"/>
      <c r="C66" s="26"/>
    </row>
    <row r="67">
      <c r="B67" s="26"/>
      <c r="C67" s="26"/>
    </row>
    <row r="68">
      <c r="B68" s="26"/>
      <c r="C68" s="26"/>
    </row>
    <row r="69">
      <c r="B69" s="26"/>
      <c r="C69" s="26"/>
    </row>
    <row r="70">
      <c r="B70" s="26"/>
      <c r="C70" s="26"/>
    </row>
    <row r="71">
      <c r="B71" s="26"/>
      <c r="C71" s="26"/>
    </row>
    <row r="72">
      <c r="B72" s="26"/>
      <c r="C72" s="26"/>
    </row>
    <row r="73">
      <c r="B73" s="26"/>
      <c r="C73" s="26"/>
    </row>
    <row r="74">
      <c r="B74" s="26"/>
      <c r="C74" s="26"/>
    </row>
    <row r="75">
      <c r="B75" s="26"/>
      <c r="C75" s="26"/>
    </row>
    <row r="76">
      <c r="B76" s="26"/>
      <c r="C76" s="26"/>
    </row>
    <row r="77">
      <c r="B77" s="26"/>
      <c r="C77" s="26"/>
    </row>
    <row r="78">
      <c r="B78" s="26"/>
      <c r="C78" s="26"/>
    </row>
    <row r="79">
      <c r="B79" s="26"/>
      <c r="C79" s="26"/>
    </row>
    <row r="80">
      <c r="B80" s="26"/>
      <c r="C80" s="26"/>
    </row>
    <row r="81">
      <c r="B81" s="26"/>
      <c r="C81" s="26"/>
    </row>
    <row r="82">
      <c r="B82" s="26"/>
      <c r="C82" s="26"/>
    </row>
    <row r="83">
      <c r="B83" s="26"/>
      <c r="C83" s="26"/>
    </row>
    <row r="84">
      <c r="B84" s="26"/>
      <c r="C84" s="26"/>
    </row>
    <row r="85">
      <c r="B85" s="26"/>
      <c r="C85" s="26"/>
    </row>
    <row r="86">
      <c r="B86" s="26"/>
      <c r="C86" s="26"/>
    </row>
    <row r="87">
      <c r="B87" s="26"/>
      <c r="C87" s="26"/>
    </row>
    <row r="88">
      <c r="B88" s="26"/>
      <c r="C88" s="26"/>
    </row>
    <row r="89">
      <c r="B89" s="26"/>
      <c r="C89" s="26"/>
    </row>
    <row r="90">
      <c r="B90" s="26"/>
      <c r="C90" s="26"/>
    </row>
    <row r="91">
      <c r="B91" s="26"/>
      <c r="C91" s="26"/>
    </row>
    <row r="92">
      <c r="B92" s="26"/>
      <c r="C92" s="26"/>
    </row>
    <row r="93">
      <c r="B93" s="26"/>
      <c r="C93" s="26"/>
    </row>
    <row r="94">
      <c r="B94" s="26"/>
      <c r="C94" s="26"/>
    </row>
    <row r="95">
      <c r="B95" s="26"/>
      <c r="C95" s="26"/>
    </row>
    <row r="96">
      <c r="B96" s="26"/>
      <c r="C96" s="26"/>
    </row>
    <row r="97">
      <c r="B97" s="26"/>
      <c r="C97" s="26"/>
    </row>
    <row r="98">
      <c r="B98" s="26"/>
      <c r="C98" s="26"/>
    </row>
    <row r="99">
      <c r="B99" s="26"/>
      <c r="C99" s="26"/>
    </row>
    <row r="100">
      <c r="B100" s="26"/>
      <c r="C100" s="26"/>
    </row>
    <row r="101">
      <c r="B101" s="26"/>
      <c r="C101" s="26"/>
    </row>
    <row r="102">
      <c r="B102" s="26"/>
      <c r="C102" s="26"/>
    </row>
    <row r="103">
      <c r="B103" s="26"/>
      <c r="C103" s="26"/>
    </row>
    <row r="104">
      <c r="B104" s="26"/>
      <c r="C104" s="26"/>
    </row>
    <row r="105">
      <c r="B105" s="26"/>
      <c r="C105" s="26"/>
    </row>
    <row r="106">
      <c r="B106" s="26"/>
      <c r="C106" s="26"/>
    </row>
    <row r="107">
      <c r="B107" s="26"/>
      <c r="C107" s="26"/>
    </row>
    <row r="108">
      <c r="B108" s="26"/>
      <c r="C108" s="26"/>
    </row>
    <row r="109">
      <c r="B109" s="26"/>
      <c r="C109" s="26"/>
    </row>
    <row r="110">
      <c r="B110" s="26"/>
      <c r="C110" s="26"/>
    </row>
    <row r="111">
      <c r="B111" s="26"/>
      <c r="C111" s="26"/>
    </row>
    <row r="112">
      <c r="B112" s="26"/>
      <c r="C112" s="26"/>
    </row>
    <row r="113">
      <c r="B113" s="26"/>
      <c r="C113" s="26"/>
    </row>
    <row r="114">
      <c r="B114" s="26"/>
      <c r="C114" s="26"/>
    </row>
    <row r="115">
      <c r="B115" s="26"/>
      <c r="C115" s="26"/>
    </row>
    <row r="116">
      <c r="B116" s="26"/>
      <c r="C116" s="26"/>
    </row>
    <row r="117">
      <c r="B117" s="26"/>
      <c r="C117" s="26"/>
    </row>
    <row r="118">
      <c r="B118" s="26"/>
      <c r="C118" s="26"/>
    </row>
    <row r="119">
      <c r="B119" s="26"/>
      <c r="C119" s="26"/>
    </row>
    <row r="120">
      <c r="B120" s="26"/>
      <c r="C120" s="26"/>
    </row>
    <row r="121">
      <c r="B121" s="26"/>
      <c r="C121" s="26"/>
    </row>
    <row r="122">
      <c r="B122" s="26"/>
      <c r="C122" s="26"/>
    </row>
    <row r="123">
      <c r="B123" s="26"/>
      <c r="C123" s="26"/>
    </row>
    <row r="124">
      <c r="B124" s="26"/>
      <c r="C124" s="26"/>
    </row>
    <row r="125">
      <c r="B125" s="26"/>
      <c r="C125" s="26"/>
    </row>
    <row r="126">
      <c r="B126" s="26"/>
      <c r="C126" s="26"/>
    </row>
    <row r="127">
      <c r="B127" s="26"/>
      <c r="C127" s="26"/>
    </row>
    <row r="128">
      <c r="B128" s="26"/>
      <c r="C128" s="26"/>
    </row>
    <row r="129">
      <c r="B129" s="26"/>
      <c r="C129" s="26"/>
    </row>
    <row r="130">
      <c r="B130" s="26"/>
      <c r="C130" s="26"/>
    </row>
    <row r="131">
      <c r="B131" s="26"/>
      <c r="C131" s="26"/>
    </row>
    <row r="132">
      <c r="B132" s="26"/>
      <c r="C132" s="26"/>
    </row>
    <row r="133">
      <c r="B133" s="26"/>
      <c r="C133" s="26"/>
    </row>
    <row r="134">
      <c r="B134" s="26"/>
      <c r="C134" s="26"/>
    </row>
    <row r="135">
      <c r="B135" s="26"/>
      <c r="C135" s="26"/>
    </row>
    <row r="136">
      <c r="B136" s="26"/>
      <c r="C136" s="26"/>
    </row>
    <row r="137">
      <c r="B137" s="26"/>
      <c r="C137" s="26"/>
    </row>
    <row r="138">
      <c r="B138" s="26"/>
      <c r="C138" s="26"/>
    </row>
    <row r="139">
      <c r="B139" s="26"/>
      <c r="C139" s="26"/>
    </row>
    <row r="140">
      <c r="B140" s="26"/>
      <c r="C140" s="26"/>
    </row>
    <row r="141">
      <c r="B141" s="26"/>
      <c r="C141" s="26"/>
    </row>
    <row r="142">
      <c r="B142" s="26"/>
      <c r="C142" s="26"/>
    </row>
    <row r="143">
      <c r="B143" s="26"/>
      <c r="C143" s="26"/>
    </row>
    <row r="144">
      <c r="B144" s="26"/>
      <c r="C144" s="26"/>
    </row>
    <row r="145">
      <c r="B145" s="26"/>
      <c r="C145" s="26"/>
    </row>
    <row r="146">
      <c r="B146" s="26"/>
      <c r="C146" s="26"/>
    </row>
    <row r="147">
      <c r="B147" s="26"/>
      <c r="C147" s="26"/>
    </row>
    <row r="148">
      <c r="B148" s="26"/>
      <c r="C148" s="26"/>
    </row>
    <row r="149">
      <c r="B149" s="26"/>
      <c r="C149" s="26"/>
    </row>
    <row r="150">
      <c r="B150" s="26"/>
      <c r="C150" s="26"/>
    </row>
    <row r="151">
      <c r="B151" s="26"/>
      <c r="C151" s="26"/>
    </row>
    <row r="152">
      <c r="B152" s="26"/>
      <c r="C152" s="26"/>
    </row>
    <row r="153">
      <c r="B153" s="26"/>
      <c r="C153" s="26"/>
    </row>
    <row r="154">
      <c r="B154" s="26"/>
      <c r="C154" s="26"/>
    </row>
    <row r="155">
      <c r="B155" s="26"/>
      <c r="C155" s="26"/>
    </row>
    <row r="156">
      <c r="B156" s="26"/>
      <c r="C156" s="26"/>
    </row>
    <row r="157">
      <c r="B157" s="26"/>
      <c r="C157" s="26"/>
    </row>
    <row r="158">
      <c r="B158" s="26"/>
      <c r="C158" s="26"/>
    </row>
    <row r="159">
      <c r="B159" s="26"/>
      <c r="C159" s="26"/>
    </row>
    <row r="160">
      <c r="B160" s="26"/>
      <c r="C160" s="26"/>
    </row>
    <row r="161">
      <c r="B161" s="26"/>
      <c r="C161" s="26"/>
    </row>
    <row r="162">
      <c r="B162" s="26"/>
      <c r="C162" s="26"/>
    </row>
    <row r="163">
      <c r="B163" s="26"/>
      <c r="C163" s="26"/>
    </row>
    <row r="164">
      <c r="B164" s="26"/>
      <c r="C164" s="26"/>
    </row>
    <row r="165">
      <c r="B165" s="26"/>
      <c r="C165" s="26"/>
    </row>
    <row r="166">
      <c r="B166" s="26"/>
      <c r="C166" s="26"/>
    </row>
    <row r="167">
      <c r="B167" s="26"/>
      <c r="C167" s="26"/>
    </row>
    <row r="168">
      <c r="B168" s="26"/>
      <c r="C168" s="26"/>
    </row>
    <row r="169">
      <c r="B169" s="26"/>
      <c r="C169" s="26"/>
    </row>
    <row r="170">
      <c r="B170" s="26"/>
      <c r="C170" s="26"/>
    </row>
    <row r="171">
      <c r="B171" s="26"/>
      <c r="C171" s="26"/>
    </row>
    <row r="172">
      <c r="B172" s="26"/>
      <c r="C172" s="26"/>
    </row>
    <row r="173">
      <c r="B173" s="26"/>
      <c r="C173" s="26"/>
    </row>
    <row r="174">
      <c r="B174" s="26"/>
      <c r="C174" s="26"/>
    </row>
    <row r="175">
      <c r="B175" s="26"/>
      <c r="C175" s="26"/>
    </row>
    <row r="176">
      <c r="B176" s="26"/>
      <c r="C176" s="26"/>
    </row>
    <row r="177">
      <c r="B177" s="26"/>
      <c r="C177" s="26"/>
    </row>
    <row r="178">
      <c r="B178" s="26"/>
      <c r="C178" s="26"/>
    </row>
    <row r="179">
      <c r="B179" s="26"/>
      <c r="C179" s="26"/>
    </row>
    <row r="180">
      <c r="B180" s="26"/>
      <c r="C180" s="26"/>
    </row>
    <row r="181">
      <c r="B181" s="26"/>
      <c r="C181" s="26"/>
    </row>
    <row r="182">
      <c r="B182" s="26"/>
      <c r="C182" s="26"/>
    </row>
    <row r="183">
      <c r="B183" s="26"/>
      <c r="C183" s="26"/>
    </row>
    <row r="184">
      <c r="B184" s="26"/>
      <c r="C184" s="26"/>
    </row>
    <row r="185">
      <c r="B185" s="26"/>
      <c r="C185" s="26"/>
    </row>
    <row r="186">
      <c r="B186" s="26"/>
      <c r="C186" s="26"/>
    </row>
    <row r="187">
      <c r="B187" s="26"/>
      <c r="C187" s="26"/>
    </row>
    <row r="188">
      <c r="B188" s="26"/>
      <c r="C188" s="26"/>
    </row>
    <row r="189">
      <c r="B189" s="26"/>
      <c r="C189" s="26"/>
    </row>
    <row r="190">
      <c r="B190" s="26"/>
      <c r="C190" s="26"/>
    </row>
    <row r="191">
      <c r="B191" s="26"/>
      <c r="C191" s="26"/>
    </row>
    <row r="192">
      <c r="B192" s="26"/>
      <c r="C192" s="26"/>
    </row>
    <row r="193">
      <c r="B193" s="26"/>
      <c r="C193" s="26"/>
    </row>
    <row r="194">
      <c r="B194" s="26"/>
      <c r="C194" s="26"/>
    </row>
    <row r="195">
      <c r="B195" s="26"/>
      <c r="C195" s="26"/>
    </row>
    <row r="196">
      <c r="B196" s="26"/>
      <c r="C196" s="26"/>
    </row>
    <row r="197">
      <c r="B197" s="26"/>
      <c r="C197" s="26"/>
    </row>
    <row r="198">
      <c r="B198" s="26"/>
      <c r="C198" s="26"/>
    </row>
    <row r="199">
      <c r="B199" s="26"/>
      <c r="C199" s="26"/>
    </row>
    <row r="200">
      <c r="B200" s="26"/>
      <c r="C200" s="26"/>
    </row>
    <row r="201">
      <c r="B201" s="26"/>
      <c r="C201" s="26"/>
    </row>
    <row r="202">
      <c r="B202" s="26"/>
      <c r="C202" s="26"/>
    </row>
    <row r="203">
      <c r="B203" s="26"/>
      <c r="C203" s="26"/>
    </row>
    <row r="204">
      <c r="B204" s="26"/>
      <c r="C204" s="26"/>
    </row>
    <row r="205">
      <c r="B205" s="26"/>
      <c r="C205" s="26"/>
    </row>
    <row r="206">
      <c r="B206" s="26"/>
      <c r="C206" s="26"/>
    </row>
    <row r="207">
      <c r="B207" s="26"/>
      <c r="C207" s="26"/>
    </row>
    <row r="208">
      <c r="B208" s="26"/>
      <c r="C208" s="26"/>
    </row>
    <row r="209">
      <c r="B209" s="26"/>
      <c r="C209" s="26"/>
    </row>
    <row r="210">
      <c r="B210" s="26"/>
      <c r="C210" s="26"/>
    </row>
    <row r="211">
      <c r="B211" s="26"/>
      <c r="C211" s="26"/>
    </row>
    <row r="212">
      <c r="B212" s="26"/>
      <c r="C212" s="26"/>
    </row>
    <row r="213">
      <c r="B213" s="26"/>
      <c r="C213" s="26"/>
    </row>
    <row r="214">
      <c r="B214" s="26"/>
      <c r="C214" s="26"/>
    </row>
    <row r="215">
      <c r="B215" s="26"/>
      <c r="C215" s="26"/>
    </row>
    <row r="216">
      <c r="B216" s="26"/>
      <c r="C216" s="26"/>
    </row>
    <row r="217">
      <c r="B217" s="26"/>
      <c r="C217" s="26"/>
    </row>
    <row r="218">
      <c r="B218" s="26"/>
      <c r="C218" s="26"/>
    </row>
    <row r="219">
      <c r="B219" s="26"/>
      <c r="C219" s="26"/>
    </row>
    <row r="220">
      <c r="B220" s="26"/>
      <c r="C220" s="26"/>
    </row>
    <row r="221">
      <c r="B221" s="26"/>
      <c r="C221" s="26"/>
    </row>
    <row r="222">
      <c r="B222" s="26"/>
      <c r="C222" s="26"/>
    </row>
    <row r="223">
      <c r="B223" s="26"/>
      <c r="C223" s="26"/>
    </row>
    <row r="224">
      <c r="B224" s="26"/>
      <c r="C224" s="26"/>
    </row>
    <row r="225">
      <c r="B225" s="26"/>
      <c r="C225" s="26"/>
    </row>
    <row r="226">
      <c r="B226" s="26"/>
      <c r="C226" s="26"/>
    </row>
    <row r="227">
      <c r="B227" s="26"/>
      <c r="C227" s="26"/>
    </row>
    <row r="228">
      <c r="B228" s="26"/>
      <c r="C228" s="26"/>
    </row>
    <row r="229">
      <c r="B229" s="26"/>
      <c r="C229" s="26"/>
    </row>
    <row r="230">
      <c r="B230" s="26"/>
      <c r="C230" s="26"/>
    </row>
    <row r="231">
      <c r="B231" s="26"/>
      <c r="C231" s="26"/>
    </row>
    <row r="232">
      <c r="B232" s="26"/>
      <c r="C232" s="26"/>
    </row>
    <row r="233">
      <c r="B233" s="26"/>
      <c r="C233" s="26"/>
    </row>
    <row r="234">
      <c r="B234" s="26"/>
      <c r="C234" s="26"/>
    </row>
    <row r="235">
      <c r="B235" s="26"/>
      <c r="C235" s="26"/>
    </row>
    <row r="236">
      <c r="B236" s="26"/>
      <c r="C236" s="26"/>
    </row>
    <row r="237">
      <c r="B237" s="26"/>
      <c r="C237" s="26"/>
    </row>
    <row r="238">
      <c r="B238" s="26"/>
      <c r="C238" s="26"/>
    </row>
    <row r="239">
      <c r="B239" s="26"/>
      <c r="C239" s="26"/>
    </row>
    <row r="240">
      <c r="B240" s="26"/>
      <c r="C240" s="26"/>
    </row>
    <row r="241">
      <c r="B241" s="26"/>
      <c r="C241" s="26"/>
    </row>
    <row r="242">
      <c r="B242" s="26"/>
      <c r="C242" s="26"/>
    </row>
    <row r="243">
      <c r="B243" s="26"/>
      <c r="C243" s="26"/>
    </row>
    <row r="244">
      <c r="B244" s="26"/>
      <c r="C244" s="26"/>
    </row>
    <row r="245">
      <c r="B245" s="26"/>
      <c r="C245" s="26"/>
    </row>
    <row r="246">
      <c r="B246" s="26"/>
      <c r="C246" s="26"/>
    </row>
    <row r="247">
      <c r="B247" s="26"/>
      <c r="C247" s="26"/>
    </row>
    <row r="248">
      <c r="B248" s="26"/>
      <c r="C248" s="26"/>
    </row>
    <row r="249">
      <c r="B249" s="26"/>
      <c r="C249" s="26"/>
    </row>
    <row r="250">
      <c r="B250" s="26"/>
      <c r="C250" s="26"/>
    </row>
    <row r="251">
      <c r="B251" s="26"/>
      <c r="C251" s="26"/>
    </row>
    <row r="252">
      <c r="B252" s="26"/>
      <c r="C252" s="26"/>
    </row>
    <row r="253">
      <c r="B253" s="26"/>
      <c r="C253" s="26"/>
    </row>
    <row r="254">
      <c r="B254" s="26"/>
      <c r="C254" s="26"/>
    </row>
    <row r="255">
      <c r="B255" s="26"/>
      <c r="C255" s="26"/>
    </row>
    <row r="256">
      <c r="B256" s="26"/>
      <c r="C256" s="26"/>
    </row>
    <row r="257">
      <c r="B257" s="26"/>
      <c r="C257" s="26"/>
    </row>
    <row r="258">
      <c r="B258" s="26"/>
      <c r="C258" s="26"/>
    </row>
    <row r="259">
      <c r="B259" s="26"/>
      <c r="C259" s="26"/>
    </row>
    <row r="260">
      <c r="B260" s="26"/>
      <c r="C260" s="26"/>
    </row>
    <row r="261">
      <c r="B261" s="26"/>
      <c r="C261" s="26"/>
    </row>
    <row r="262">
      <c r="B262" s="26"/>
      <c r="C262" s="26"/>
    </row>
    <row r="263">
      <c r="B263" s="26"/>
      <c r="C263" s="26"/>
    </row>
    <row r="264">
      <c r="B264" s="26"/>
      <c r="C264" s="26"/>
    </row>
    <row r="265">
      <c r="B265" s="26"/>
      <c r="C265" s="26"/>
    </row>
    <row r="266">
      <c r="B266" s="26"/>
      <c r="C266" s="26"/>
    </row>
    <row r="267">
      <c r="B267" s="26"/>
      <c r="C267" s="26"/>
    </row>
    <row r="268">
      <c r="B268" s="26"/>
      <c r="C268" s="26"/>
    </row>
    <row r="269">
      <c r="B269" s="26"/>
      <c r="C269" s="26"/>
    </row>
    <row r="270">
      <c r="B270" s="26"/>
      <c r="C270" s="26"/>
    </row>
    <row r="271">
      <c r="B271" s="26"/>
      <c r="C271" s="26"/>
    </row>
    <row r="272">
      <c r="B272" s="26"/>
      <c r="C272" s="26"/>
    </row>
    <row r="273">
      <c r="B273" s="26"/>
      <c r="C273" s="26"/>
    </row>
    <row r="274">
      <c r="B274" s="26"/>
      <c r="C274" s="26"/>
    </row>
    <row r="275">
      <c r="B275" s="26"/>
      <c r="C275" s="26"/>
    </row>
    <row r="276">
      <c r="B276" s="26"/>
      <c r="C276" s="26"/>
    </row>
    <row r="277">
      <c r="B277" s="26"/>
      <c r="C277" s="26"/>
    </row>
    <row r="278">
      <c r="B278" s="26"/>
      <c r="C278" s="26"/>
    </row>
    <row r="279">
      <c r="B279" s="26"/>
      <c r="C279" s="26"/>
    </row>
    <row r="280">
      <c r="B280" s="26"/>
      <c r="C280" s="26"/>
    </row>
    <row r="281">
      <c r="B281" s="26"/>
      <c r="C281" s="26"/>
    </row>
    <row r="282">
      <c r="B282" s="26"/>
      <c r="C282" s="26"/>
    </row>
    <row r="283">
      <c r="B283" s="26"/>
      <c r="C283" s="26"/>
    </row>
    <row r="284">
      <c r="B284" s="26"/>
      <c r="C284" s="26"/>
    </row>
    <row r="285">
      <c r="B285" s="26"/>
      <c r="C285" s="26"/>
    </row>
    <row r="286">
      <c r="B286" s="26"/>
      <c r="C286" s="26"/>
    </row>
    <row r="287">
      <c r="B287" s="26"/>
      <c r="C287" s="26"/>
    </row>
    <row r="288">
      <c r="B288" s="26"/>
      <c r="C288" s="26"/>
    </row>
    <row r="289">
      <c r="B289" s="26"/>
      <c r="C289" s="26"/>
    </row>
    <row r="290">
      <c r="B290" s="26"/>
      <c r="C290" s="26"/>
    </row>
    <row r="291">
      <c r="B291" s="26"/>
      <c r="C291" s="26"/>
    </row>
    <row r="292">
      <c r="B292" s="26"/>
      <c r="C292" s="26"/>
    </row>
    <row r="293">
      <c r="B293" s="26"/>
      <c r="C293" s="26"/>
    </row>
    <row r="294">
      <c r="B294" s="26"/>
      <c r="C294" s="26"/>
    </row>
    <row r="295">
      <c r="B295" s="26"/>
      <c r="C295" s="26"/>
    </row>
    <row r="296">
      <c r="B296" s="26"/>
      <c r="C296" s="26"/>
    </row>
    <row r="297">
      <c r="B297" s="26"/>
      <c r="C297" s="26"/>
    </row>
    <row r="298">
      <c r="B298" s="26"/>
      <c r="C298" s="26"/>
    </row>
    <row r="299">
      <c r="B299" s="26"/>
      <c r="C299" s="26"/>
    </row>
    <row r="300">
      <c r="B300" s="26"/>
      <c r="C300" s="26"/>
    </row>
    <row r="301">
      <c r="B301" s="26"/>
      <c r="C301" s="26"/>
    </row>
    <row r="302">
      <c r="B302" s="26"/>
      <c r="C302" s="26"/>
    </row>
    <row r="303">
      <c r="B303" s="26"/>
      <c r="C303" s="26"/>
    </row>
    <row r="304">
      <c r="B304" s="26"/>
      <c r="C304" s="26"/>
    </row>
    <row r="305">
      <c r="B305" s="26"/>
      <c r="C305" s="26"/>
    </row>
    <row r="306">
      <c r="B306" s="26"/>
      <c r="C306" s="26"/>
    </row>
    <row r="307">
      <c r="B307" s="26"/>
      <c r="C307" s="26"/>
    </row>
    <row r="308">
      <c r="B308" s="26"/>
      <c r="C308" s="26"/>
    </row>
    <row r="309">
      <c r="B309" s="26"/>
      <c r="C309" s="26"/>
    </row>
    <row r="310">
      <c r="B310" s="26"/>
      <c r="C310" s="26"/>
    </row>
    <row r="311">
      <c r="B311" s="26"/>
      <c r="C311" s="26"/>
    </row>
    <row r="312">
      <c r="B312" s="26"/>
      <c r="C312" s="26"/>
    </row>
    <row r="313">
      <c r="B313" s="26"/>
      <c r="C313" s="26"/>
    </row>
    <row r="314">
      <c r="B314" s="26"/>
      <c r="C314" s="26"/>
    </row>
    <row r="315">
      <c r="B315" s="26"/>
      <c r="C315" s="26"/>
    </row>
    <row r="316">
      <c r="B316" s="26"/>
      <c r="C316" s="26"/>
    </row>
    <row r="317">
      <c r="B317" s="26"/>
      <c r="C317" s="26"/>
    </row>
    <row r="318">
      <c r="B318" s="26"/>
      <c r="C318" s="26"/>
    </row>
    <row r="319">
      <c r="B319" s="26"/>
      <c r="C319" s="26"/>
    </row>
    <row r="320">
      <c r="B320" s="26"/>
      <c r="C320" s="26"/>
    </row>
    <row r="321">
      <c r="B321" s="26"/>
      <c r="C321" s="26"/>
    </row>
    <row r="322">
      <c r="B322" s="26"/>
      <c r="C322" s="26"/>
    </row>
    <row r="323">
      <c r="B323" s="26"/>
      <c r="C323" s="26"/>
    </row>
    <row r="324">
      <c r="B324" s="26"/>
      <c r="C324" s="26"/>
    </row>
    <row r="325">
      <c r="B325" s="26"/>
      <c r="C325" s="26"/>
    </row>
    <row r="326">
      <c r="B326" s="26"/>
      <c r="C326" s="26"/>
    </row>
    <row r="327">
      <c r="B327" s="26"/>
      <c r="C327" s="26"/>
    </row>
    <row r="328">
      <c r="B328" s="26"/>
      <c r="C328" s="26"/>
    </row>
    <row r="329">
      <c r="B329" s="26"/>
      <c r="C329" s="26"/>
    </row>
    <row r="330">
      <c r="B330" s="26"/>
      <c r="C330" s="26"/>
    </row>
    <row r="331">
      <c r="B331" s="26"/>
      <c r="C331" s="26"/>
    </row>
    <row r="332">
      <c r="B332" s="26"/>
      <c r="C332" s="26"/>
    </row>
    <row r="333">
      <c r="B333" s="26"/>
      <c r="C333" s="26"/>
    </row>
    <row r="334">
      <c r="B334" s="26"/>
      <c r="C334" s="26"/>
    </row>
    <row r="335">
      <c r="B335" s="26"/>
      <c r="C335" s="26"/>
    </row>
    <row r="336">
      <c r="B336" s="26"/>
      <c r="C336" s="26"/>
    </row>
    <row r="337">
      <c r="B337" s="26"/>
      <c r="C337" s="26"/>
    </row>
    <row r="338">
      <c r="B338" s="26"/>
      <c r="C338" s="26"/>
    </row>
    <row r="339">
      <c r="B339" s="26"/>
      <c r="C339" s="26"/>
    </row>
    <row r="340">
      <c r="B340" s="26"/>
      <c r="C340" s="26"/>
    </row>
    <row r="341">
      <c r="B341" s="26"/>
      <c r="C341" s="26"/>
    </row>
    <row r="342">
      <c r="B342" s="26"/>
      <c r="C342" s="26"/>
    </row>
    <row r="343">
      <c r="B343" s="26"/>
      <c r="C343" s="26"/>
    </row>
    <row r="344">
      <c r="B344" s="26"/>
      <c r="C344" s="26"/>
    </row>
    <row r="345">
      <c r="B345" s="26"/>
      <c r="C345" s="26"/>
    </row>
    <row r="346">
      <c r="B346" s="26"/>
      <c r="C346" s="26"/>
    </row>
    <row r="347">
      <c r="B347" s="26"/>
      <c r="C347" s="26"/>
    </row>
    <row r="348">
      <c r="B348" s="26"/>
      <c r="C348" s="26"/>
    </row>
    <row r="349">
      <c r="B349" s="26"/>
      <c r="C349" s="26"/>
    </row>
    <row r="350">
      <c r="B350" s="26"/>
      <c r="C350" s="26"/>
    </row>
    <row r="351">
      <c r="B351" s="26"/>
      <c r="C351" s="26"/>
    </row>
    <row r="352">
      <c r="B352" s="26"/>
      <c r="C352" s="26"/>
    </row>
    <row r="353">
      <c r="B353" s="26"/>
      <c r="C353" s="26"/>
    </row>
    <row r="354">
      <c r="B354" s="26"/>
      <c r="C354" s="26"/>
    </row>
    <row r="355">
      <c r="B355" s="26"/>
      <c r="C355" s="26"/>
    </row>
    <row r="356">
      <c r="B356" s="26"/>
      <c r="C356" s="26"/>
    </row>
    <row r="357">
      <c r="B357" s="26"/>
      <c r="C357" s="26"/>
    </row>
    <row r="358">
      <c r="B358" s="26"/>
      <c r="C358" s="26"/>
    </row>
    <row r="359">
      <c r="B359" s="26"/>
      <c r="C359" s="26"/>
    </row>
    <row r="360">
      <c r="B360" s="26"/>
      <c r="C360" s="26"/>
    </row>
    <row r="361">
      <c r="B361" s="26"/>
      <c r="C361" s="26"/>
    </row>
    <row r="362">
      <c r="B362" s="26"/>
      <c r="C362" s="26"/>
    </row>
    <row r="363">
      <c r="B363" s="26"/>
      <c r="C363" s="26"/>
    </row>
    <row r="364">
      <c r="B364" s="26"/>
      <c r="C364" s="26"/>
    </row>
    <row r="365">
      <c r="B365" s="26"/>
      <c r="C365" s="26"/>
    </row>
    <row r="366">
      <c r="B366" s="26"/>
      <c r="C366" s="26"/>
    </row>
    <row r="367">
      <c r="B367" s="26"/>
      <c r="C367" s="26"/>
    </row>
    <row r="368">
      <c r="B368" s="26"/>
      <c r="C368" s="26"/>
    </row>
    <row r="369">
      <c r="B369" s="26"/>
      <c r="C369" s="26"/>
    </row>
    <row r="370">
      <c r="B370" s="26"/>
      <c r="C370" s="26"/>
    </row>
    <row r="371">
      <c r="B371" s="26"/>
      <c r="C371" s="26"/>
    </row>
    <row r="372">
      <c r="B372" s="26"/>
      <c r="C372" s="26"/>
    </row>
    <row r="373">
      <c r="B373" s="26"/>
      <c r="C373" s="26"/>
    </row>
    <row r="374">
      <c r="B374" s="26"/>
      <c r="C374" s="26"/>
    </row>
    <row r="375">
      <c r="B375" s="26"/>
      <c r="C375" s="26"/>
    </row>
    <row r="376">
      <c r="B376" s="26"/>
      <c r="C376" s="26"/>
    </row>
    <row r="377">
      <c r="B377" s="26"/>
      <c r="C377" s="26"/>
    </row>
    <row r="378">
      <c r="B378" s="26"/>
      <c r="C378" s="26"/>
    </row>
    <row r="379">
      <c r="B379" s="26"/>
      <c r="C379" s="26"/>
    </row>
    <row r="380">
      <c r="B380" s="26"/>
      <c r="C380" s="26"/>
    </row>
    <row r="381">
      <c r="B381" s="26"/>
      <c r="C381" s="26"/>
    </row>
    <row r="382">
      <c r="B382" s="26"/>
      <c r="C382" s="26"/>
    </row>
    <row r="383">
      <c r="B383" s="26"/>
      <c r="C383" s="26"/>
    </row>
    <row r="384">
      <c r="B384" s="26"/>
      <c r="C384" s="26"/>
    </row>
    <row r="385">
      <c r="B385" s="26"/>
      <c r="C385" s="26"/>
    </row>
    <row r="386">
      <c r="B386" s="26"/>
      <c r="C386" s="26"/>
    </row>
    <row r="387">
      <c r="B387" s="26"/>
      <c r="C387" s="26"/>
    </row>
    <row r="388">
      <c r="B388" s="26"/>
      <c r="C388" s="26"/>
    </row>
    <row r="389">
      <c r="B389" s="26"/>
      <c r="C389" s="26"/>
    </row>
    <row r="390">
      <c r="B390" s="26"/>
      <c r="C390" s="26"/>
    </row>
    <row r="391">
      <c r="B391" s="26"/>
      <c r="C391" s="26"/>
    </row>
    <row r="392">
      <c r="B392" s="26"/>
      <c r="C392" s="26"/>
    </row>
    <row r="393">
      <c r="B393" s="26"/>
      <c r="C393" s="26"/>
    </row>
    <row r="394">
      <c r="B394" s="26"/>
      <c r="C394" s="26"/>
    </row>
    <row r="395">
      <c r="B395" s="26"/>
      <c r="C395" s="26"/>
    </row>
    <row r="396">
      <c r="B396" s="26"/>
      <c r="C396" s="26"/>
    </row>
    <row r="397">
      <c r="B397" s="26"/>
      <c r="C397" s="26"/>
    </row>
    <row r="398">
      <c r="B398" s="26"/>
      <c r="C398" s="26"/>
    </row>
    <row r="399">
      <c r="B399" s="26"/>
      <c r="C399" s="26"/>
    </row>
    <row r="400">
      <c r="B400" s="26"/>
      <c r="C400" s="26"/>
    </row>
    <row r="401">
      <c r="B401" s="26"/>
      <c r="C401" s="26"/>
    </row>
    <row r="402">
      <c r="B402" s="26"/>
      <c r="C402" s="26"/>
    </row>
    <row r="403">
      <c r="B403" s="26"/>
      <c r="C403" s="26"/>
    </row>
    <row r="404">
      <c r="B404" s="26"/>
      <c r="C404" s="26"/>
    </row>
    <row r="405">
      <c r="B405" s="26"/>
      <c r="C405" s="26"/>
    </row>
    <row r="406">
      <c r="B406" s="26"/>
      <c r="C406" s="26"/>
    </row>
    <row r="407">
      <c r="B407" s="26"/>
      <c r="C407" s="26"/>
    </row>
    <row r="408">
      <c r="B408" s="26"/>
      <c r="C408" s="26"/>
    </row>
    <row r="409">
      <c r="B409" s="26"/>
      <c r="C409" s="26"/>
    </row>
    <row r="410">
      <c r="B410" s="26"/>
      <c r="C410" s="26"/>
    </row>
    <row r="411">
      <c r="B411" s="26"/>
      <c r="C411" s="26"/>
    </row>
    <row r="412">
      <c r="B412" s="26"/>
      <c r="C412" s="26"/>
    </row>
    <row r="413">
      <c r="B413" s="26"/>
      <c r="C413" s="26"/>
    </row>
    <row r="414">
      <c r="B414" s="26"/>
      <c r="C414" s="26"/>
    </row>
    <row r="415">
      <c r="B415" s="26"/>
      <c r="C415" s="26"/>
    </row>
    <row r="416">
      <c r="B416" s="26"/>
      <c r="C416" s="26"/>
    </row>
    <row r="417">
      <c r="B417" s="26"/>
      <c r="C417" s="26"/>
    </row>
    <row r="418">
      <c r="B418" s="26"/>
      <c r="C418" s="26"/>
    </row>
    <row r="419">
      <c r="B419" s="26"/>
      <c r="C419" s="26"/>
    </row>
    <row r="420">
      <c r="B420" s="26"/>
      <c r="C420" s="26"/>
    </row>
    <row r="421">
      <c r="B421" s="26"/>
      <c r="C421" s="26"/>
    </row>
    <row r="422">
      <c r="B422" s="26"/>
      <c r="C422" s="26"/>
    </row>
    <row r="423">
      <c r="B423" s="26"/>
      <c r="C423" s="26"/>
    </row>
    <row r="424">
      <c r="B424" s="26"/>
      <c r="C424" s="26"/>
    </row>
    <row r="425">
      <c r="B425" s="26"/>
      <c r="C425" s="26"/>
    </row>
    <row r="426">
      <c r="B426" s="26"/>
      <c r="C426" s="26"/>
    </row>
    <row r="427">
      <c r="B427" s="26"/>
      <c r="C427" s="26"/>
    </row>
    <row r="428">
      <c r="B428" s="26"/>
      <c r="C428" s="26"/>
    </row>
    <row r="429">
      <c r="B429" s="26"/>
      <c r="C429" s="26"/>
    </row>
    <row r="430">
      <c r="B430" s="26"/>
      <c r="C430" s="26"/>
    </row>
    <row r="431">
      <c r="B431" s="26"/>
      <c r="C431" s="26"/>
    </row>
    <row r="432">
      <c r="B432" s="26"/>
      <c r="C432" s="26"/>
    </row>
    <row r="433">
      <c r="B433" s="26"/>
      <c r="C433" s="26"/>
    </row>
    <row r="434">
      <c r="B434" s="26"/>
      <c r="C434" s="26"/>
    </row>
    <row r="435">
      <c r="B435" s="26"/>
      <c r="C435" s="26"/>
    </row>
    <row r="436">
      <c r="B436" s="26"/>
      <c r="C436" s="26"/>
    </row>
    <row r="437">
      <c r="B437" s="26"/>
      <c r="C437" s="26"/>
    </row>
    <row r="438">
      <c r="B438" s="26"/>
      <c r="C438" s="26"/>
    </row>
    <row r="439">
      <c r="B439" s="26"/>
      <c r="C439" s="26"/>
    </row>
    <row r="440">
      <c r="B440" s="26"/>
      <c r="C440" s="26"/>
    </row>
    <row r="441">
      <c r="B441" s="26"/>
      <c r="C441" s="26"/>
    </row>
    <row r="442">
      <c r="B442" s="26"/>
      <c r="C442" s="26"/>
    </row>
    <row r="443">
      <c r="B443" s="26"/>
      <c r="C443" s="26"/>
    </row>
    <row r="444">
      <c r="B444" s="26"/>
      <c r="C444" s="26"/>
    </row>
    <row r="445">
      <c r="B445" s="26"/>
      <c r="C445" s="26"/>
    </row>
    <row r="446">
      <c r="B446" s="26"/>
      <c r="C446" s="26"/>
    </row>
    <row r="447">
      <c r="B447" s="26"/>
      <c r="C447" s="26"/>
    </row>
    <row r="448">
      <c r="B448" s="26"/>
      <c r="C448" s="26"/>
    </row>
    <row r="449">
      <c r="B449" s="26"/>
      <c r="C449" s="26"/>
    </row>
    <row r="450">
      <c r="B450" s="26"/>
      <c r="C450" s="26"/>
    </row>
    <row r="451">
      <c r="B451" s="26"/>
      <c r="C451" s="26"/>
    </row>
    <row r="452">
      <c r="B452" s="26"/>
      <c r="C452" s="26"/>
    </row>
    <row r="453">
      <c r="B453" s="26"/>
      <c r="C453" s="26"/>
    </row>
    <row r="454">
      <c r="B454" s="26"/>
      <c r="C454" s="26"/>
    </row>
    <row r="455">
      <c r="B455" s="26"/>
      <c r="C455" s="26"/>
    </row>
    <row r="456">
      <c r="B456" s="26"/>
      <c r="C456" s="26"/>
    </row>
    <row r="457">
      <c r="B457" s="26"/>
      <c r="C457" s="26"/>
    </row>
    <row r="458">
      <c r="B458" s="26"/>
      <c r="C458" s="26"/>
    </row>
    <row r="459">
      <c r="B459" s="26"/>
      <c r="C459" s="26"/>
    </row>
    <row r="460">
      <c r="B460" s="26"/>
      <c r="C460" s="26"/>
    </row>
    <row r="461">
      <c r="B461" s="26"/>
      <c r="C461" s="26"/>
    </row>
    <row r="462">
      <c r="B462" s="26"/>
      <c r="C462" s="26"/>
    </row>
    <row r="463">
      <c r="B463" s="26"/>
      <c r="C463" s="26"/>
    </row>
    <row r="464">
      <c r="B464" s="26"/>
      <c r="C464" s="26"/>
    </row>
    <row r="465">
      <c r="B465" s="26"/>
      <c r="C465" s="26"/>
    </row>
    <row r="466">
      <c r="B466" s="26"/>
      <c r="C466" s="26"/>
    </row>
    <row r="467">
      <c r="B467" s="26"/>
      <c r="C467" s="26"/>
    </row>
    <row r="468">
      <c r="B468" s="26"/>
      <c r="C468" s="26"/>
    </row>
    <row r="469">
      <c r="B469" s="26"/>
      <c r="C469" s="26"/>
    </row>
    <row r="470">
      <c r="B470" s="26"/>
      <c r="C470" s="26"/>
    </row>
    <row r="471">
      <c r="B471" s="26"/>
      <c r="C471" s="26"/>
    </row>
    <row r="472">
      <c r="B472" s="26"/>
      <c r="C472" s="26"/>
    </row>
    <row r="473">
      <c r="B473" s="26"/>
      <c r="C473" s="26"/>
    </row>
    <row r="474">
      <c r="B474" s="26"/>
      <c r="C474" s="26"/>
    </row>
    <row r="475">
      <c r="B475" s="26"/>
      <c r="C475" s="26"/>
    </row>
    <row r="476">
      <c r="B476" s="26"/>
      <c r="C476" s="26"/>
    </row>
    <row r="477">
      <c r="B477" s="26"/>
      <c r="C477" s="26"/>
    </row>
    <row r="478">
      <c r="B478" s="26"/>
      <c r="C478" s="26"/>
    </row>
    <row r="479">
      <c r="B479" s="26"/>
      <c r="C479" s="26"/>
    </row>
    <row r="480">
      <c r="B480" s="26"/>
      <c r="C480" s="26"/>
    </row>
    <row r="481">
      <c r="B481" s="26"/>
      <c r="C481" s="26"/>
    </row>
    <row r="482">
      <c r="B482" s="26"/>
      <c r="C482" s="26"/>
    </row>
    <row r="483">
      <c r="B483" s="26"/>
      <c r="C483" s="26"/>
    </row>
    <row r="484">
      <c r="B484" s="26"/>
      <c r="C484" s="26"/>
    </row>
    <row r="485">
      <c r="B485" s="26"/>
      <c r="C485" s="26"/>
    </row>
    <row r="486">
      <c r="B486" s="26"/>
      <c r="C486" s="26"/>
    </row>
    <row r="487">
      <c r="B487" s="26"/>
      <c r="C487" s="26"/>
    </row>
    <row r="488">
      <c r="B488" s="26"/>
      <c r="C488" s="26"/>
    </row>
    <row r="489">
      <c r="B489" s="26"/>
      <c r="C489" s="26"/>
    </row>
    <row r="490">
      <c r="B490" s="26"/>
      <c r="C490" s="26"/>
    </row>
    <row r="491">
      <c r="B491" s="26"/>
      <c r="C491" s="26"/>
    </row>
    <row r="492">
      <c r="B492" s="26"/>
      <c r="C492" s="26"/>
    </row>
    <row r="493">
      <c r="B493" s="26"/>
      <c r="C493" s="26"/>
    </row>
    <row r="494">
      <c r="B494" s="26"/>
      <c r="C494" s="26"/>
    </row>
    <row r="495">
      <c r="B495" s="26"/>
      <c r="C495" s="26"/>
    </row>
    <row r="496">
      <c r="B496" s="26"/>
      <c r="C496" s="26"/>
    </row>
    <row r="497">
      <c r="B497" s="26"/>
      <c r="C497" s="26"/>
    </row>
    <row r="498">
      <c r="B498" s="26"/>
      <c r="C498" s="26"/>
    </row>
    <row r="499">
      <c r="B499" s="26"/>
      <c r="C499" s="26"/>
    </row>
    <row r="500">
      <c r="B500" s="26"/>
      <c r="C500" s="26"/>
    </row>
    <row r="501">
      <c r="B501" s="26"/>
      <c r="C501" s="26"/>
    </row>
    <row r="502">
      <c r="B502" s="26"/>
      <c r="C502" s="26"/>
    </row>
    <row r="503">
      <c r="B503" s="26"/>
      <c r="C503" s="26"/>
    </row>
    <row r="504">
      <c r="B504" s="26"/>
      <c r="C504" s="26"/>
    </row>
    <row r="505">
      <c r="B505" s="26"/>
      <c r="C505" s="26"/>
    </row>
    <row r="506">
      <c r="B506" s="26"/>
      <c r="C506" s="26"/>
    </row>
    <row r="507">
      <c r="B507" s="26"/>
      <c r="C507" s="26"/>
    </row>
    <row r="508">
      <c r="B508" s="26"/>
      <c r="C508" s="26"/>
    </row>
    <row r="509">
      <c r="B509" s="26"/>
      <c r="C509" s="26"/>
    </row>
    <row r="510">
      <c r="B510" s="26"/>
      <c r="C510" s="26"/>
    </row>
    <row r="511">
      <c r="B511" s="26"/>
      <c r="C511" s="26"/>
    </row>
    <row r="512">
      <c r="B512" s="26"/>
      <c r="C512" s="26"/>
    </row>
    <row r="513">
      <c r="B513" s="26"/>
      <c r="C513" s="26"/>
    </row>
    <row r="514">
      <c r="B514" s="26"/>
      <c r="C514" s="26"/>
    </row>
    <row r="515">
      <c r="B515" s="26"/>
      <c r="C515" s="26"/>
    </row>
    <row r="516">
      <c r="B516" s="26"/>
      <c r="C516" s="26"/>
    </row>
    <row r="517">
      <c r="B517" s="26"/>
      <c r="C517" s="26"/>
    </row>
    <row r="518">
      <c r="B518" s="26"/>
      <c r="C518" s="26"/>
    </row>
    <row r="519">
      <c r="B519" s="26"/>
      <c r="C519" s="26"/>
    </row>
    <row r="520">
      <c r="B520" s="26"/>
      <c r="C520" s="26"/>
    </row>
    <row r="521">
      <c r="B521" s="26"/>
      <c r="C521" s="26"/>
    </row>
    <row r="522">
      <c r="B522" s="26"/>
      <c r="C522" s="26"/>
    </row>
    <row r="523">
      <c r="B523" s="26"/>
      <c r="C523" s="26"/>
    </row>
    <row r="524">
      <c r="B524" s="26"/>
      <c r="C524" s="26"/>
    </row>
    <row r="525">
      <c r="B525" s="26"/>
      <c r="C525" s="26"/>
    </row>
    <row r="526">
      <c r="B526" s="26"/>
      <c r="C526" s="26"/>
    </row>
    <row r="527">
      <c r="B527" s="26"/>
      <c r="C527" s="26"/>
    </row>
    <row r="528">
      <c r="B528" s="26"/>
      <c r="C528" s="26"/>
    </row>
    <row r="529">
      <c r="B529" s="26"/>
      <c r="C529" s="26"/>
    </row>
    <row r="530">
      <c r="B530" s="26"/>
      <c r="C530" s="26"/>
    </row>
    <row r="531">
      <c r="B531" s="26"/>
      <c r="C531" s="26"/>
    </row>
    <row r="532">
      <c r="B532" s="26"/>
      <c r="C532" s="26"/>
    </row>
    <row r="533">
      <c r="B533" s="26"/>
      <c r="C533" s="26"/>
    </row>
    <row r="534">
      <c r="B534" s="26"/>
      <c r="C534" s="26"/>
    </row>
    <row r="535">
      <c r="B535" s="26"/>
      <c r="C535" s="26"/>
    </row>
    <row r="536">
      <c r="B536" s="26"/>
      <c r="C536" s="26"/>
    </row>
    <row r="537">
      <c r="B537" s="26"/>
      <c r="C537" s="26"/>
    </row>
    <row r="538">
      <c r="B538" s="26"/>
      <c r="C538" s="26"/>
    </row>
    <row r="539">
      <c r="B539" s="26"/>
      <c r="C539" s="26"/>
    </row>
    <row r="540">
      <c r="B540" s="26"/>
      <c r="C540" s="26"/>
    </row>
    <row r="541">
      <c r="B541" s="26"/>
      <c r="C541" s="26"/>
    </row>
    <row r="542">
      <c r="B542" s="26"/>
      <c r="C542" s="26"/>
    </row>
    <row r="543">
      <c r="B543" s="26"/>
      <c r="C543" s="26"/>
    </row>
    <row r="544">
      <c r="B544" s="26"/>
      <c r="C544" s="26"/>
    </row>
    <row r="545">
      <c r="B545" s="26"/>
      <c r="C545" s="26"/>
    </row>
    <row r="546">
      <c r="B546" s="26"/>
      <c r="C546" s="26"/>
    </row>
    <row r="547">
      <c r="B547" s="26"/>
      <c r="C547" s="26"/>
    </row>
    <row r="548">
      <c r="B548" s="26"/>
      <c r="C548" s="26"/>
    </row>
    <row r="549">
      <c r="B549" s="26"/>
      <c r="C549" s="26"/>
    </row>
    <row r="550">
      <c r="B550" s="26"/>
      <c r="C550" s="26"/>
    </row>
    <row r="551">
      <c r="B551" s="26"/>
      <c r="C551" s="26"/>
    </row>
    <row r="552">
      <c r="B552" s="26"/>
      <c r="C552" s="26"/>
    </row>
    <row r="553">
      <c r="B553" s="26"/>
      <c r="C553" s="26"/>
    </row>
    <row r="554">
      <c r="B554" s="26"/>
      <c r="C554" s="26"/>
    </row>
    <row r="555">
      <c r="B555" s="26"/>
      <c r="C555" s="26"/>
    </row>
    <row r="556">
      <c r="B556" s="26"/>
      <c r="C556" s="26"/>
    </row>
    <row r="557">
      <c r="B557" s="26"/>
      <c r="C557" s="26"/>
    </row>
    <row r="558">
      <c r="B558" s="26"/>
      <c r="C558" s="26"/>
    </row>
    <row r="559">
      <c r="B559" s="26"/>
      <c r="C559" s="26"/>
    </row>
    <row r="560">
      <c r="B560" s="26"/>
      <c r="C560" s="26"/>
    </row>
    <row r="561">
      <c r="B561" s="26"/>
      <c r="C561" s="26"/>
    </row>
    <row r="562">
      <c r="B562" s="26"/>
      <c r="C562" s="26"/>
    </row>
    <row r="563">
      <c r="B563" s="26"/>
      <c r="C563" s="26"/>
    </row>
    <row r="564">
      <c r="B564" s="26"/>
      <c r="C564" s="26"/>
    </row>
    <row r="565">
      <c r="B565" s="26"/>
      <c r="C565" s="26"/>
    </row>
    <row r="566">
      <c r="B566" s="26"/>
      <c r="C566" s="26"/>
    </row>
    <row r="567">
      <c r="B567" s="26"/>
      <c r="C567" s="26"/>
    </row>
    <row r="568">
      <c r="B568" s="26"/>
      <c r="C568" s="26"/>
    </row>
    <row r="569">
      <c r="B569" s="26"/>
      <c r="C569" s="26"/>
    </row>
    <row r="570">
      <c r="B570" s="26"/>
      <c r="C570" s="26"/>
    </row>
    <row r="571">
      <c r="B571" s="26"/>
      <c r="C571" s="26"/>
    </row>
    <row r="572">
      <c r="B572" s="26"/>
      <c r="C572" s="26"/>
    </row>
    <row r="573">
      <c r="B573" s="26"/>
      <c r="C573" s="26"/>
    </row>
    <row r="574">
      <c r="B574" s="26"/>
      <c r="C574" s="26"/>
    </row>
    <row r="575">
      <c r="B575" s="26"/>
      <c r="C575" s="26"/>
    </row>
    <row r="576">
      <c r="B576" s="26"/>
      <c r="C576" s="26"/>
    </row>
    <row r="577">
      <c r="B577" s="26"/>
      <c r="C577" s="26"/>
    </row>
    <row r="578">
      <c r="B578" s="26"/>
      <c r="C578" s="26"/>
    </row>
    <row r="579">
      <c r="B579" s="26"/>
      <c r="C579" s="26"/>
    </row>
    <row r="580">
      <c r="B580" s="26"/>
      <c r="C580" s="26"/>
    </row>
    <row r="581">
      <c r="B581" s="26"/>
      <c r="C581" s="26"/>
    </row>
    <row r="582">
      <c r="B582" s="26"/>
      <c r="C582" s="26"/>
    </row>
    <row r="583">
      <c r="B583" s="26"/>
      <c r="C583" s="26"/>
    </row>
    <row r="584">
      <c r="B584" s="26"/>
      <c r="C584" s="26"/>
    </row>
    <row r="585">
      <c r="B585" s="26"/>
      <c r="C585" s="26"/>
    </row>
    <row r="586">
      <c r="B586" s="26"/>
      <c r="C586" s="26"/>
    </row>
    <row r="587">
      <c r="B587" s="26"/>
      <c r="C587" s="26"/>
    </row>
    <row r="588">
      <c r="B588" s="26"/>
      <c r="C588" s="26"/>
    </row>
    <row r="589">
      <c r="B589" s="26"/>
      <c r="C589" s="26"/>
    </row>
    <row r="590">
      <c r="B590" s="26"/>
      <c r="C590" s="26"/>
    </row>
    <row r="591">
      <c r="B591" s="26"/>
      <c r="C591" s="26"/>
    </row>
    <row r="592">
      <c r="B592" s="26"/>
      <c r="C592" s="26"/>
    </row>
    <row r="593">
      <c r="B593" s="26"/>
      <c r="C593" s="26"/>
    </row>
    <row r="594">
      <c r="B594" s="26"/>
      <c r="C594" s="26"/>
    </row>
    <row r="595">
      <c r="B595" s="26"/>
      <c r="C595" s="26"/>
    </row>
    <row r="596">
      <c r="B596" s="26"/>
      <c r="C596" s="26"/>
    </row>
    <row r="597">
      <c r="B597" s="26"/>
      <c r="C597" s="26"/>
    </row>
    <row r="598">
      <c r="B598" s="26"/>
      <c r="C598" s="26"/>
    </row>
    <row r="599">
      <c r="B599" s="26"/>
      <c r="C599" s="26"/>
    </row>
    <row r="600">
      <c r="B600" s="26"/>
      <c r="C600" s="26"/>
    </row>
    <row r="601">
      <c r="B601" s="26"/>
      <c r="C601" s="26"/>
    </row>
    <row r="602">
      <c r="B602" s="26"/>
      <c r="C602" s="26"/>
    </row>
    <row r="603">
      <c r="B603" s="26"/>
      <c r="C603" s="26"/>
    </row>
    <row r="604">
      <c r="B604" s="26"/>
      <c r="C604" s="26"/>
    </row>
    <row r="605">
      <c r="B605" s="26"/>
      <c r="C605" s="26"/>
    </row>
    <row r="606">
      <c r="B606" s="26"/>
      <c r="C606" s="26"/>
    </row>
    <row r="607">
      <c r="B607" s="26"/>
      <c r="C607" s="26"/>
    </row>
    <row r="608">
      <c r="B608" s="26"/>
      <c r="C608" s="26"/>
    </row>
    <row r="609">
      <c r="B609" s="26"/>
      <c r="C609" s="26"/>
    </row>
    <row r="610">
      <c r="B610" s="26"/>
      <c r="C610" s="26"/>
    </row>
    <row r="611">
      <c r="B611" s="26"/>
      <c r="C611" s="26"/>
    </row>
    <row r="612">
      <c r="B612" s="26"/>
      <c r="C612" s="26"/>
    </row>
    <row r="613">
      <c r="B613" s="26"/>
      <c r="C613" s="26"/>
    </row>
    <row r="614">
      <c r="B614" s="26"/>
      <c r="C614" s="26"/>
    </row>
    <row r="615">
      <c r="B615" s="26"/>
      <c r="C615" s="26"/>
    </row>
    <row r="616">
      <c r="B616" s="26"/>
      <c r="C616" s="26"/>
    </row>
    <row r="617">
      <c r="B617" s="26"/>
      <c r="C617" s="26"/>
    </row>
    <row r="618">
      <c r="B618" s="26"/>
      <c r="C618" s="26"/>
    </row>
    <row r="619">
      <c r="B619" s="26"/>
      <c r="C619" s="26"/>
    </row>
    <row r="620">
      <c r="B620" s="26"/>
      <c r="C620" s="26"/>
    </row>
    <row r="621">
      <c r="B621" s="26"/>
      <c r="C621" s="26"/>
    </row>
    <row r="622">
      <c r="B622" s="26"/>
      <c r="C622" s="26"/>
    </row>
    <row r="623">
      <c r="B623" s="26"/>
      <c r="C623" s="26"/>
    </row>
    <row r="624">
      <c r="B624" s="26"/>
      <c r="C624" s="26"/>
    </row>
    <row r="625">
      <c r="B625" s="26"/>
      <c r="C625" s="26"/>
    </row>
    <row r="626">
      <c r="B626" s="26"/>
      <c r="C626" s="26"/>
    </row>
    <row r="627">
      <c r="B627" s="26"/>
      <c r="C627" s="26"/>
    </row>
    <row r="628">
      <c r="B628" s="26"/>
      <c r="C628" s="26"/>
    </row>
    <row r="629">
      <c r="B629" s="26"/>
      <c r="C629" s="26"/>
    </row>
    <row r="630">
      <c r="B630" s="26"/>
      <c r="C630" s="26"/>
    </row>
    <row r="631">
      <c r="B631" s="26"/>
      <c r="C631" s="26"/>
    </row>
    <row r="632">
      <c r="B632" s="26"/>
      <c r="C632" s="26"/>
    </row>
    <row r="633">
      <c r="B633" s="26"/>
      <c r="C633" s="26"/>
    </row>
    <row r="634">
      <c r="B634" s="26"/>
      <c r="C634" s="26"/>
    </row>
    <row r="635">
      <c r="B635" s="26"/>
      <c r="C635" s="26"/>
    </row>
    <row r="636">
      <c r="B636" s="26"/>
      <c r="C636" s="26"/>
    </row>
    <row r="637">
      <c r="B637" s="26"/>
      <c r="C637" s="26"/>
    </row>
    <row r="638">
      <c r="B638" s="26"/>
      <c r="C638" s="26"/>
    </row>
    <row r="639">
      <c r="B639" s="26"/>
      <c r="C639" s="26"/>
    </row>
    <row r="640">
      <c r="B640" s="26"/>
      <c r="C640" s="26"/>
    </row>
    <row r="641">
      <c r="B641" s="26"/>
      <c r="C641" s="26"/>
    </row>
    <row r="642">
      <c r="B642" s="26"/>
      <c r="C642" s="26"/>
    </row>
    <row r="643">
      <c r="B643" s="26"/>
      <c r="C643" s="26"/>
    </row>
    <row r="644">
      <c r="B644" s="26"/>
      <c r="C644" s="26"/>
    </row>
    <row r="645">
      <c r="B645" s="26"/>
      <c r="C645" s="26"/>
    </row>
    <row r="646">
      <c r="B646" s="26"/>
      <c r="C646" s="26"/>
    </row>
    <row r="647">
      <c r="B647" s="26"/>
      <c r="C647" s="26"/>
    </row>
    <row r="648">
      <c r="B648" s="26"/>
      <c r="C648" s="26"/>
    </row>
    <row r="649">
      <c r="B649" s="26"/>
      <c r="C649" s="26"/>
    </row>
    <row r="650">
      <c r="B650" s="26"/>
      <c r="C650" s="26"/>
    </row>
    <row r="651">
      <c r="B651" s="26"/>
      <c r="C651" s="26"/>
    </row>
    <row r="652">
      <c r="B652" s="26"/>
      <c r="C652" s="26"/>
    </row>
    <row r="653">
      <c r="B653" s="26"/>
      <c r="C653" s="26"/>
    </row>
    <row r="654">
      <c r="B654" s="26"/>
      <c r="C654" s="26"/>
    </row>
    <row r="655">
      <c r="B655" s="26"/>
      <c r="C655" s="26"/>
    </row>
    <row r="656">
      <c r="B656" s="26"/>
      <c r="C656" s="26"/>
    </row>
    <row r="657">
      <c r="B657" s="26"/>
      <c r="C657" s="26"/>
    </row>
    <row r="658">
      <c r="B658" s="26"/>
      <c r="C658" s="26"/>
    </row>
    <row r="659">
      <c r="B659" s="26"/>
      <c r="C659" s="26"/>
    </row>
    <row r="660">
      <c r="B660" s="26"/>
      <c r="C660" s="26"/>
    </row>
    <row r="661">
      <c r="B661" s="26"/>
      <c r="C661" s="26"/>
    </row>
    <row r="662">
      <c r="B662" s="26"/>
      <c r="C662" s="26"/>
    </row>
    <row r="663">
      <c r="B663" s="26"/>
      <c r="C663" s="26"/>
    </row>
    <row r="664">
      <c r="B664" s="26"/>
      <c r="C664" s="26"/>
    </row>
    <row r="665">
      <c r="B665" s="26"/>
      <c r="C665" s="26"/>
    </row>
    <row r="666">
      <c r="B666" s="26"/>
      <c r="C666" s="26"/>
    </row>
    <row r="667">
      <c r="B667" s="26"/>
      <c r="C667" s="26"/>
    </row>
    <row r="668">
      <c r="B668" s="26"/>
      <c r="C668" s="26"/>
    </row>
    <row r="669">
      <c r="B669" s="26"/>
      <c r="C669" s="26"/>
    </row>
    <row r="670">
      <c r="B670" s="26"/>
      <c r="C670" s="26"/>
    </row>
    <row r="671">
      <c r="B671" s="26"/>
      <c r="C671" s="26"/>
    </row>
    <row r="672">
      <c r="B672" s="26"/>
      <c r="C672" s="26"/>
    </row>
    <row r="673">
      <c r="B673" s="26"/>
      <c r="C673" s="26"/>
    </row>
    <row r="674">
      <c r="B674" s="26"/>
      <c r="C674" s="26"/>
    </row>
    <row r="675">
      <c r="B675" s="26"/>
      <c r="C675" s="26"/>
    </row>
    <row r="676">
      <c r="B676" s="26"/>
      <c r="C676" s="26"/>
    </row>
    <row r="677">
      <c r="B677" s="26"/>
      <c r="C677" s="26"/>
    </row>
    <row r="678">
      <c r="B678" s="26"/>
      <c r="C678" s="26"/>
    </row>
    <row r="679">
      <c r="B679" s="26"/>
      <c r="C679" s="26"/>
    </row>
    <row r="680">
      <c r="B680" s="26"/>
      <c r="C680" s="26"/>
    </row>
    <row r="681">
      <c r="B681" s="26"/>
      <c r="C681" s="26"/>
    </row>
    <row r="682">
      <c r="B682" s="26"/>
      <c r="C682" s="26"/>
    </row>
    <row r="683">
      <c r="B683" s="26"/>
      <c r="C683" s="26"/>
    </row>
    <row r="684">
      <c r="B684" s="26"/>
      <c r="C684" s="26"/>
    </row>
    <row r="685">
      <c r="B685" s="26"/>
      <c r="C685" s="26"/>
    </row>
    <row r="686">
      <c r="B686" s="26"/>
      <c r="C686" s="26"/>
    </row>
    <row r="687">
      <c r="B687" s="26"/>
      <c r="C687" s="26"/>
    </row>
    <row r="688">
      <c r="B688" s="26"/>
      <c r="C688" s="26"/>
    </row>
    <row r="689">
      <c r="B689" s="26"/>
      <c r="C689" s="26"/>
    </row>
    <row r="690">
      <c r="B690" s="26"/>
      <c r="C690" s="26"/>
    </row>
    <row r="691">
      <c r="B691" s="26"/>
      <c r="C691" s="26"/>
    </row>
    <row r="692">
      <c r="B692" s="26"/>
      <c r="C692" s="26"/>
    </row>
    <row r="693">
      <c r="B693" s="26"/>
      <c r="C693" s="26"/>
    </row>
    <row r="694">
      <c r="B694" s="26"/>
      <c r="C694" s="26"/>
    </row>
    <row r="695">
      <c r="B695" s="26"/>
      <c r="C695" s="26"/>
    </row>
    <row r="696">
      <c r="B696" s="26"/>
      <c r="C696" s="26"/>
    </row>
    <row r="697">
      <c r="B697" s="26"/>
      <c r="C697" s="26"/>
    </row>
    <row r="698">
      <c r="B698" s="26"/>
      <c r="C698" s="26"/>
    </row>
    <row r="699">
      <c r="B699" s="26"/>
      <c r="C699" s="26"/>
    </row>
    <row r="700">
      <c r="B700" s="26"/>
      <c r="C700" s="26"/>
    </row>
    <row r="701">
      <c r="B701" s="26"/>
      <c r="C701" s="26"/>
    </row>
    <row r="702">
      <c r="B702" s="26"/>
      <c r="C702" s="26"/>
    </row>
    <row r="703">
      <c r="B703" s="26"/>
      <c r="C703" s="26"/>
    </row>
    <row r="704">
      <c r="B704" s="26"/>
      <c r="C704" s="26"/>
    </row>
    <row r="705">
      <c r="B705" s="26"/>
      <c r="C705" s="26"/>
    </row>
    <row r="706">
      <c r="B706" s="26"/>
      <c r="C706" s="26"/>
    </row>
    <row r="707">
      <c r="B707" s="26"/>
      <c r="C707" s="26"/>
    </row>
    <row r="708">
      <c r="B708" s="26"/>
      <c r="C708" s="26"/>
    </row>
    <row r="709">
      <c r="B709" s="26"/>
      <c r="C709" s="26"/>
    </row>
    <row r="710">
      <c r="B710" s="26"/>
      <c r="C710" s="26"/>
    </row>
    <row r="711">
      <c r="B711" s="26"/>
      <c r="C711" s="26"/>
    </row>
    <row r="712">
      <c r="B712" s="26"/>
      <c r="C712" s="26"/>
    </row>
    <row r="713">
      <c r="B713" s="26"/>
      <c r="C713" s="26"/>
    </row>
    <row r="714">
      <c r="B714" s="26"/>
      <c r="C714" s="26"/>
    </row>
    <row r="715">
      <c r="B715" s="26"/>
      <c r="C715" s="26"/>
    </row>
    <row r="716">
      <c r="B716" s="26"/>
      <c r="C716" s="26"/>
    </row>
    <row r="717">
      <c r="B717" s="26"/>
      <c r="C717" s="26"/>
    </row>
    <row r="718">
      <c r="B718" s="26"/>
      <c r="C718" s="26"/>
    </row>
    <row r="719">
      <c r="B719" s="26"/>
      <c r="C719" s="26"/>
    </row>
    <row r="720">
      <c r="B720" s="26"/>
      <c r="C720" s="26"/>
    </row>
    <row r="721">
      <c r="B721" s="26"/>
      <c r="C721" s="26"/>
    </row>
    <row r="722">
      <c r="B722" s="26"/>
      <c r="C722" s="26"/>
    </row>
    <row r="723">
      <c r="B723" s="26"/>
      <c r="C723" s="26"/>
    </row>
    <row r="724">
      <c r="B724" s="26"/>
      <c r="C724" s="26"/>
    </row>
    <row r="725">
      <c r="B725" s="26"/>
      <c r="C725" s="26"/>
    </row>
    <row r="726">
      <c r="B726" s="26"/>
      <c r="C726" s="26"/>
    </row>
    <row r="727">
      <c r="B727" s="26"/>
      <c r="C727" s="26"/>
    </row>
    <row r="728">
      <c r="B728" s="26"/>
      <c r="C728" s="26"/>
    </row>
    <row r="729">
      <c r="B729" s="26"/>
      <c r="C729" s="26"/>
    </row>
    <row r="730">
      <c r="B730" s="26"/>
      <c r="C730" s="26"/>
    </row>
    <row r="731">
      <c r="B731" s="26"/>
      <c r="C731" s="26"/>
    </row>
    <row r="732">
      <c r="B732" s="26"/>
      <c r="C732" s="26"/>
    </row>
    <row r="733">
      <c r="B733" s="26"/>
      <c r="C733" s="26"/>
    </row>
    <row r="734">
      <c r="B734" s="26"/>
      <c r="C734" s="26"/>
    </row>
    <row r="735">
      <c r="B735" s="26"/>
      <c r="C735" s="26"/>
    </row>
    <row r="736">
      <c r="B736" s="26"/>
      <c r="C736" s="26"/>
    </row>
    <row r="737">
      <c r="B737" s="26"/>
      <c r="C737" s="26"/>
    </row>
    <row r="738">
      <c r="B738" s="26"/>
      <c r="C738" s="26"/>
    </row>
    <row r="739">
      <c r="B739" s="26"/>
      <c r="C739" s="26"/>
    </row>
    <row r="740">
      <c r="B740" s="26"/>
      <c r="C740" s="26"/>
    </row>
    <row r="741">
      <c r="B741" s="26"/>
      <c r="C741" s="26"/>
    </row>
    <row r="742">
      <c r="B742" s="26"/>
      <c r="C742" s="26"/>
    </row>
    <row r="743">
      <c r="B743" s="26"/>
      <c r="C743" s="26"/>
    </row>
    <row r="744">
      <c r="B744" s="26"/>
      <c r="C744" s="26"/>
    </row>
    <row r="745">
      <c r="B745" s="26"/>
      <c r="C745" s="26"/>
    </row>
    <row r="746">
      <c r="B746" s="26"/>
      <c r="C746" s="26"/>
    </row>
    <row r="747">
      <c r="B747" s="26"/>
      <c r="C747" s="26"/>
    </row>
    <row r="748">
      <c r="B748" s="26"/>
      <c r="C748" s="26"/>
    </row>
    <row r="749">
      <c r="B749" s="26"/>
      <c r="C749" s="26"/>
    </row>
    <row r="750">
      <c r="B750" s="26"/>
      <c r="C750" s="26"/>
    </row>
    <row r="751">
      <c r="B751" s="26"/>
      <c r="C751" s="26"/>
    </row>
    <row r="752">
      <c r="B752" s="26"/>
      <c r="C752" s="26"/>
    </row>
    <row r="753">
      <c r="B753" s="26"/>
      <c r="C753" s="26"/>
    </row>
    <row r="754">
      <c r="B754" s="26"/>
      <c r="C754" s="26"/>
    </row>
    <row r="755">
      <c r="B755" s="26"/>
      <c r="C755" s="26"/>
    </row>
    <row r="756">
      <c r="B756" s="26"/>
      <c r="C756" s="26"/>
    </row>
    <row r="757">
      <c r="B757" s="26"/>
      <c r="C757" s="26"/>
    </row>
    <row r="758">
      <c r="B758" s="26"/>
      <c r="C758" s="26"/>
    </row>
    <row r="759">
      <c r="B759" s="26"/>
      <c r="C759" s="26"/>
    </row>
    <row r="760">
      <c r="B760" s="26"/>
      <c r="C760" s="26"/>
    </row>
    <row r="761">
      <c r="B761" s="26"/>
      <c r="C761" s="26"/>
    </row>
    <row r="762">
      <c r="B762" s="26"/>
      <c r="C762" s="26"/>
    </row>
    <row r="763">
      <c r="B763" s="26"/>
      <c r="C763" s="26"/>
    </row>
    <row r="764">
      <c r="B764" s="26"/>
      <c r="C764" s="26"/>
    </row>
    <row r="765">
      <c r="B765" s="26"/>
      <c r="C765" s="26"/>
    </row>
    <row r="766">
      <c r="B766" s="26"/>
      <c r="C766" s="26"/>
    </row>
    <row r="767">
      <c r="B767" s="26"/>
      <c r="C767" s="26"/>
    </row>
    <row r="768">
      <c r="B768" s="26"/>
      <c r="C768" s="26"/>
    </row>
    <row r="769">
      <c r="B769" s="26"/>
      <c r="C769" s="26"/>
    </row>
    <row r="770">
      <c r="B770" s="26"/>
      <c r="C770" s="26"/>
    </row>
    <row r="771">
      <c r="B771" s="26"/>
      <c r="C771" s="26"/>
    </row>
    <row r="772">
      <c r="B772" s="26"/>
      <c r="C772" s="26"/>
    </row>
    <row r="773">
      <c r="B773" s="26"/>
      <c r="C773" s="26"/>
    </row>
    <row r="774">
      <c r="B774" s="26"/>
      <c r="C774" s="26"/>
    </row>
    <row r="775">
      <c r="B775" s="26"/>
      <c r="C775" s="26"/>
    </row>
    <row r="776">
      <c r="B776" s="26"/>
      <c r="C776" s="26"/>
    </row>
    <row r="777">
      <c r="B777" s="26"/>
      <c r="C777" s="26"/>
    </row>
    <row r="778">
      <c r="B778" s="26"/>
      <c r="C778" s="26"/>
    </row>
    <row r="779">
      <c r="B779" s="26"/>
      <c r="C779" s="26"/>
    </row>
    <row r="780">
      <c r="B780" s="26"/>
      <c r="C780" s="26"/>
    </row>
    <row r="781">
      <c r="B781" s="26"/>
      <c r="C781" s="26"/>
    </row>
    <row r="782">
      <c r="B782" s="26"/>
      <c r="C782" s="26"/>
    </row>
    <row r="783">
      <c r="B783" s="26"/>
      <c r="C783" s="26"/>
    </row>
    <row r="784">
      <c r="B784" s="26"/>
      <c r="C784" s="26"/>
    </row>
    <row r="785">
      <c r="B785" s="26"/>
      <c r="C785" s="26"/>
    </row>
    <row r="786">
      <c r="B786" s="26"/>
      <c r="C786" s="26"/>
    </row>
    <row r="787">
      <c r="B787" s="26"/>
      <c r="C787" s="26"/>
    </row>
    <row r="788">
      <c r="B788" s="26"/>
      <c r="C788" s="26"/>
    </row>
    <row r="789">
      <c r="B789" s="26"/>
      <c r="C789" s="26"/>
    </row>
    <row r="790">
      <c r="B790" s="26"/>
      <c r="C790" s="26"/>
    </row>
    <row r="791">
      <c r="B791" s="26"/>
      <c r="C791" s="26"/>
    </row>
    <row r="792">
      <c r="B792" s="26"/>
      <c r="C792" s="26"/>
    </row>
    <row r="793">
      <c r="B793" s="26"/>
      <c r="C793" s="26"/>
    </row>
    <row r="794">
      <c r="B794" s="26"/>
      <c r="C794" s="26"/>
    </row>
    <row r="795">
      <c r="B795" s="26"/>
      <c r="C795" s="26"/>
    </row>
    <row r="796">
      <c r="B796" s="26"/>
      <c r="C796" s="26"/>
    </row>
    <row r="797">
      <c r="B797" s="26"/>
      <c r="C797" s="26"/>
    </row>
    <row r="798">
      <c r="B798" s="26"/>
      <c r="C798" s="26"/>
    </row>
    <row r="799">
      <c r="B799" s="26"/>
      <c r="C799" s="26"/>
    </row>
    <row r="800">
      <c r="B800" s="26"/>
      <c r="C800" s="26"/>
    </row>
    <row r="801">
      <c r="B801" s="26"/>
      <c r="C801" s="26"/>
    </row>
    <row r="802">
      <c r="B802" s="26"/>
      <c r="C802" s="26"/>
    </row>
    <row r="803">
      <c r="B803" s="26"/>
      <c r="C803" s="26"/>
    </row>
    <row r="804">
      <c r="B804" s="26"/>
      <c r="C804" s="26"/>
    </row>
    <row r="805">
      <c r="B805" s="26"/>
      <c r="C805" s="26"/>
    </row>
    <row r="806">
      <c r="B806" s="26"/>
      <c r="C806" s="26"/>
    </row>
    <row r="807">
      <c r="B807" s="26"/>
      <c r="C807" s="26"/>
    </row>
    <row r="808">
      <c r="B808" s="26"/>
      <c r="C808" s="26"/>
    </row>
    <row r="809">
      <c r="B809" s="26"/>
      <c r="C809" s="26"/>
    </row>
    <row r="810">
      <c r="B810" s="26"/>
      <c r="C810" s="26"/>
    </row>
    <row r="811">
      <c r="B811" s="26"/>
      <c r="C811" s="26"/>
    </row>
    <row r="812">
      <c r="B812" s="26"/>
      <c r="C812" s="26"/>
    </row>
    <row r="813">
      <c r="B813" s="26"/>
      <c r="C813" s="26"/>
    </row>
    <row r="814">
      <c r="B814" s="26"/>
      <c r="C814" s="26"/>
    </row>
    <row r="815">
      <c r="B815" s="26"/>
      <c r="C815" s="26"/>
    </row>
    <row r="816">
      <c r="B816" s="26"/>
      <c r="C816" s="26"/>
    </row>
    <row r="817">
      <c r="B817" s="26"/>
      <c r="C817" s="26"/>
    </row>
    <row r="818">
      <c r="B818" s="26"/>
      <c r="C818" s="26"/>
    </row>
    <row r="819">
      <c r="B819" s="26"/>
      <c r="C819" s="26"/>
    </row>
    <row r="820">
      <c r="B820" s="26"/>
      <c r="C820" s="26"/>
    </row>
    <row r="821">
      <c r="B821" s="26"/>
      <c r="C821" s="26"/>
    </row>
    <row r="822">
      <c r="B822" s="26"/>
      <c r="C822" s="26"/>
    </row>
    <row r="823">
      <c r="B823" s="26"/>
      <c r="C823" s="26"/>
    </row>
    <row r="824">
      <c r="B824" s="26"/>
      <c r="C824" s="26"/>
    </row>
    <row r="825">
      <c r="B825" s="26"/>
      <c r="C825" s="26"/>
    </row>
    <row r="826">
      <c r="B826" s="26"/>
      <c r="C826" s="26"/>
    </row>
    <row r="827">
      <c r="B827" s="26"/>
      <c r="C827" s="26"/>
    </row>
    <row r="828">
      <c r="B828" s="26"/>
      <c r="C828" s="26"/>
    </row>
    <row r="829">
      <c r="B829" s="26"/>
      <c r="C829" s="26"/>
    </row>
    <row r="830">
      <c r="B830" s="26"/>
      <c r="C830" s="26"/>
    </row>
    <row r="831">
      <c r="B831" s="26"/>
      <c r="C831" s="26"/>
    </row>
    <row r="832">
      <c r="B832" s="26"/>
      <c r="C832" s="26"/>
    </row>
    <row r="833">
      <c r="B833" s="26"/>
      <c r="C833" s="26"/>
    </row>
    <row r="834">
      <c r="B834" s="26"/>
      <c r="C834" s="26"/>
    </row>
    <row r="835">
      <c r="B835" s="26"/>
      <c r="C835" s="26"/>
    </row>
    <row r="836">
      <c r="B836" s="26"/>
      <c r="C836" s="26"/>
    </row>
    <row r="837">
      <c r="B837" s="26"/>
      <c r="C837" s="26"/>
    </row>
    <row r="838">
      <c r="B838" s="26"/>
      <c r="C838" s="26"/>
    </row>
    <row r="839">
      <c r="B839" s="26"/>
      <c r="C839" s="26"/>
    </row>
    <row r="840">
      <c r="B840" s="26"/>
      <c r="C840" s="26"/>
    </row>
    <row r="841">
      <c r="B841" s="26"/>
      <c r="C841" s="26"/>
    </row>
    <row r="842">
      <c r="B842" s="26"/>
      <c r="C842" s="26"/>
    </row>
    <row r="843">
      <c r="B843" s="26"/>
      <c r="C843" s="26"/>
    </row>
    <row r="844">
      <c r="B844" s="26"/>
      <c r="C844" s="26"/>
    </row>
    <row r="845">
      <c r="B845" s="26"/>
      <c r="C845" s="26"/>
    </row>
    <row r="846">
      <c r="B846" s="26"/>
      <c r="C846" s="26"/>
    </row>
    <row r="847">
      <c r="B847" s="26"/>
      <c r="C847" s="26"/>
    </row>
    <row r="848">
      <c r="B848" s="26"/>
      <c r="C848" s="26"/>
    </row>
    <row r="849">
      <c r="B849" s="26"/>
      <c r="C849" s="26"/>
    </row>
    <row r="850">
      <c r="B850" s="26"/>
      <c r="C850" s="26"/>
    </row>
    <row r="851">
      <c r="B851" s="26"/>
      <c r="C851" s="26"/>
    </row>
    <row r="852">
      <c r="B852" s="26"/>
      <c r="C852" s="26"/>
    </row>
    <row r="853">
      <c r="B853" s="26"/>
      <c r="C853" s="26"/>
    </row>
    <row r="854">
      <c r="B854" s="26"/>
      <c r="C854" s="26"/>
    </row>
    <row r="855">
      <c r="B855" s="26"/>
      <c r="C855" s="26"/>
    </row>
    <row r="856">
      <c r="B856" s="26"/>
      <c r="C856" s="26"/>
    </row>
    <row r="857">
      <c r="B857" s="26"/>
      <c r="C857" s="26"/>
    </row>
    <row r="858">
      <c r="B858" s="26"/>
      <c r="C858" s="26"/>
    </row>
    <row r="859">
      <c r="B859" s="26"/>
      <c r="C859" s="26"/>
    </row>
    <row r="860">
      <c r="B860" s="26"/>
      <c r="C860" s="26"/>
    </row>
    <row r="861">
      <c r="B861" s="26"/>
      <c r="C861" s="26"/>
    </row>
    <row r="862">
      <c r="B862" s="26"/>
      <c r="C862" s="26"/>
    </row>
    <row r="863">
      <c r="B863" s="26"/>
      <c r="C863" s="26"/>
    </row>
    <row r="864">
      <c r="B864" s="26"/>
      <c r="C864" s="26"/>
    </row>
    <row r="865">
      <c r="B865" s="26"/>
      <c r="C865" s="26"/>
    </row>
    <row r="866">
      <c r="B866" s="26"/>
      <c r="C866" s="26"/>
    </row>
    <row r="867">
      <c r="B867" s="26"/>
      <c r="C867" s="26"/>
    </row>
    <row r="868">
      <c r="B868" s="26"/>
      <c r="C868" s="26"/>
    </row>
    <row r="869">
      <c r="B869" s="26"/>
      <c r="C869" s="26"/>
    </row>
    <row r="870">
      <c r="B870" s="26"/>
      <c r="C870" s="26"/>
    </row>
    <row r="871">
      <c r="B871" s="26"/>
      <c r="C871" s="26"/>
    </row>
    <row r="872">
      <c r="B872" s="26"/>
      <c r="C872" s="26"/>
    </row>
    <row r="873">
      <c r="B873" s="26"/>
      <c r="C873" s="26"/>
    </row>
    <row r="874">
      <c r="B874" s="26"/>
      <c r="C874" s="26"/>
    </row>
    <row r="875">
      <c r="B875" s="26"/>
      <c r="C875" s="26"/>
    </row>
    <row r="876">
      <c r="B876" s="26"/>
      <c r="C876" s="26"/>
    </row>
    <row r="877">
      <c r="B877" s="26"/>
      <c r="C877" s="26"/>
    </row>
    <row r="878">
      <c r="B878" s="26"/>
      <c r="C878" s="26"/>
    </row>
    <row r="879">
      <c r="B879" s="26"/>
      <c r="C879" s="26"/>
    </row>
    <row r="880">
      <c r="B880" s="26"/>
      <c r="C880" s="26"/>
    </row>
    <row r="881">
      <c r="B881" s="26"/>
      <c r="C881" s="26"/>
    </row>
    <row r="882">
      <c r="B882" s="26"/>
      <c r="C882" s="26"/>
    </row>
    <row r="883">
      <c r="B883" s="26"/>
      <c r="C883" s="26"/>
    </row>
    <row r="884">
      <c r="B884" s="26"/>
      <c r="C884" s="26"/>
    </row>
    <row r="885">
      <c r="B885" s="26"/>
      <c r="C885" s="26"/>
    </row>
    <row r="886">
      <c r="B886" s="26"/>
      <c r="C886" s="26"/>
    </row>
    <row r="887">
      <c r="B887" s="26"/>
      <c r="C887" s="26"/>
    </row>
    <row r="888">
      <c r="B888" s="26"/>
      <c r="C888" s="26"/>
    </row>
    <row r="889">
      <c r="B889" s="26"/>
      <c r="C889" s="26"/>
    </row>
    <row r="890">
      <c r="B890" s="26"/>
      <c r="C890" s="26"/>
    </row>
    <row r="891">
      <c r="B891" s="26"/>
      <c r="C891" s="26"/>
    </row>
    <row r="892">
      <c r="B892" s="26"/>
      <c r="C892" s="26"/>
    </row>
    <row r="893">
      <c r="B893" s="26"/>
      <c r="C893" s="26"/>
    </row>
    <row r="894">
      <c r="B894" s="26"/>
      <c r="C894" s="26"/>
    </row>
    <row r="895">
      <c r="B895" s="26"/>
      <c r="C895" s="26"/>
    </row>
    <row r="896">
      <c r="B896" s="26"/>
      <c r="C896" s="26"/>
    </row>
    <row r="897">
      <c r="B897" s="26"/>
      <c r="C897" s="26"/>
    </row>
    <row r="898">
      <c r="B898" s="26"/>
      <c r="C898" s="26"/>
    </row>
    <row r="899">
      <c r="B899" s="26"/>
      <c r="C899" s="26"/>
    </row>
    <row r="900">
      <c r="B900" s="26"/>
      <c r="C900" s="26"/>
    </row>
    <row r="901">
      <c r="B901" s="26"/>
      <c r="C901" s="26"/>
    </row>
    <row r="902">
      <c r="B902" s="26"/>
      <c r="C902" s="26"/>
    </row>
    <row r="903">
      <c r="B903" s="26"/>
      <c r="C903" s="26"/>
    </row>
    <row r="904">
      <c r="B904" s="26"/>
      <c r="C904" s="26"/>
    </row>
    <row r="905">
      <c r="B905" s="26"/>
      <c r="C905" s="26"/>
    </row>
    <row r="906">
      <c r="B906" s="26"/>
      <c r="C906" s="26"/>
    </row>
    <row r="907">
      <c r="B907" s="26"/>
      <c r="C907" s="26"/>
    </row>
    <row r="908">
      <c r="B908" s="26"/>
      <c r="C908" s="26"/>
    </row>
    <row r="909">
      <c r="B909" s="26"/>
      <c r="C909" s="26"/>
    </row>
    <row r="910">
      <c r="B910" s="26"/>
      <c r="C910" s="26"/>
    </row>
    <row r="911">
      <c r="B911" s="26"/>
      <c r="C911" s="26"/>
    </row>
    <row r="912">
      <c r="B912" s="26"/>
      <c r="C912" s="26"/>
    </row>
    <row r="913">
      <c r="B913" s="26"/>
      <c r="C913" s="26"/>
    </row>
    <row r="914">
      <c r="B914" s="26"/>
      <c r="C914" s="26"/>
    </row>
    <row r="915">
      <c r="B915" s="26"/>
      <c r="C915" s="26"/>
    </row>
    <row r="916">
      <c r="B916" s="26"/>
      <c r="C916" s="26"/>
    </row>
    <row r="917">
      <c r="B917" s="26"/>
      <c r="C917" s="26"/>
    </row>
    <row r="918">
      <c r="B918" s="26"/>
      <c r="C918" s="26"/>
    </row>
    <row r="919">
      <c r="B919" s="26"/>
      <c r="C919" s="26"/>
    </row>
    <row r="920">
      <c r="B920" s="26"/>
      <c r="C920" s="26"/>
    </row>
    <row r="921">
      <c r="B921" s="26"/>
      <c r="C921" s="26"/>
    </row>
    <row r="922">
      <c r="B922" s="26"/>
      <c r="C922" s="26"/>
    </row>
    <row r="923">
      <c r="B923" s="26"/>
      <c r="C923" s="26"/>
    </row>
    <row r="924">
      <c r="B924" s="26"/>
      <c r="C924" s="26"/>
    </row>
    <row r="925">
      <c r="B925" s="26"/>
      <c r="C925" s="26"/>
    </row>
    <row r="926">
      <c r="B926" s="26"/>
      <c r="C926" s="26"/>
    </row>
    <row r="927">
      <c r="B927" s="26"/>
      <c r="C927" s="26"/>
    </row>
    <row r="928">
      <c r="B928" s="26"/>
      <c r="C928" s="26"/>
    </row>
    <row r="929">
      <c r="B929" s="26"/>
      <c r="C929" s="26"/>
    </row>
    <row r="930">
      <c r="B930" s="26"/>
      <c r="C930" s="26"/>
    </row>
    <row r="931">
      <c r="B931" s="26"/>
      <c r="C931" s="26"/>
    </row>
    <row r="932">
      <c r="B932" s="26"/>
      <c r="C932" s="26"/>
    </row>
    <row r="933">
      <c r="B933" s="26"/>
      <c r="C933" s="26"/>
    </row>
    <row r="934">
      <c r="B934" s="26"/>
      <c r="C934" s="26"/>
    </row>
    <row r="935">
      <c r="B935" s="26"/>
      <c r="C935" s="26"/>
    </row>
    <row r="936">
      <c r="B936" s="26"/>
      <c r="C936" s="26"/>
    </row>
    <row r="937">
      <c r="B937" s="26"/>
      <c r="C937" s="26"/>
    </row>
    <row r="938">
      <c r="B938" s="26"/>
      <c r="C938" s="26"/>
    </row>
    <row r="939">
      <c r="B939" s="26"/>
      <c r="C939" s="26"/>
    </row>
    <row r="940">
      <c r="B940" s="26"/>
      <c r="C940" s="26"/>
    </row>
    <row r="941">
      <c r="B941" s="26"/>
      <c r="C941" s="26"/>
    </row>
    <row r="942">
      <c r="B942" s="26"/>
      <c r="C942" s="26"/>
    </row>
    <row r="943">
      <c r="B943" s="26"/>
      <c r="C943" s="26"/>
    </row>
    <row r="944">
      <c r="B944" s="26"/>
      <c r="C944" s="26"/>
    </row>
    <row r="945">
      <c r="B945" s="26"/>
      <c r="C945" s="26"/>
    </row>
    <row r="946">
      <c r="B946" s="26"/>
      <c r="C946" s="26"/>
    </row>
    <row r="947">
      <c r="B947" s="26"/>
      <c r="C947" s="26"/>
    </row>
    <row r="948">
      <c r="B948" s="26"/>
      <c r="C948" s="26"/>
    </row>
    <row r="949">
      <c r="B949" s="26"/>
      <c r="C949" s="26"/>
    </row>
    <row r="950">
      <c r="B950" s="26"/>
      <c r="C950" s="26"/>
    </row>
    <row r="951">
      <c r="B951" s="26"/>
      <c r="C951" s="26"/>
    </row>
    <row r="952">
      <c r="B952" s="26"/>
      <c r="C952" s="26"/>
    </row>
    <row r="953">
      <c r="B953" s="26"/>
      <c r="C953" s="26"/>
    </row>
    <row r="954">
      <c r="B954" s="26"/>
      <c r="C954" s="26"/>
    </row>
    <row r="955">
      <c r="B955" s="26"/>
      <c r="C955" s="26"/>
    </row>
    <row r="956">
      <c r="B956" s="26"/>
      <c r="C956" s="26"/>
    </row>
    <row r="957">
      <c r="B957" s="26"/>
      <c r="C957" s="26"/>
    </row>
    <row r="958">
      <c r="B958" s="26"/>
      <c r="C958" s="26"/>
    </row>
    <row r="959">
      <c r="B959" s="26"/>
      <c r="C959" s="26"/>
    </row>
    <row r="960">
      <c r="B960" s="26"/>
      <c r="C960" s="26"/>
    </row>
    <row r="961">
      <c r="B961" s="26"/>
      <c r="C961" s="26"/>
    </row>
    <row r="962">
      <c r="B962" s="26"/>
      <c r="C962" s="26"/>
    </row>
    <row r="963">
      <c r="B963" s="26"/>
      <c r="C963" s="26"/>
    </row>
    <row r="964">
      <c r="B964" s="26"/>
      <c r="C964" s="26"/>
    </row>
    <row r="965">
      <c r="B965" s="26"/>
      <c r="C965" s="26"/>
    </row>
    <row r="966">
      <c r="B966" s="26"/>
      <c r="C966" s="26"/>
    </row>
    <row r="967">
      <c r="B967" s="26"/>
      <c r="C967" s="26"/>
    </row>
    <row r="968">
      <c r="B968" s="26"/>
      <c r="C968" s="26"/>
    </row>
    <row r="969">
      <c r="B969" s="26"/>
      <c r="C969" s="26"/>
    </row>
    <row r="970">
      <c r="B970" s="26"/>
      <c r="C970" s="26"/>
    </row>
    <row r="971">
      <c r="B971" s="26"/>
      <c r="C971" s="26"/>
    </row>
    <row r="972">
      <c r="B972" s="26"/>
      <c r="C972" s="26"/>
    </row>
    <row r="973">
      <c r="B973" s="26"/>
      <c r="C973" s="26"/>
    </row>
    <row r="974">
      <c r="B974" s="26"/>
      <c r="C974" s="26"/>
    </row>
    <row r="975">
      <c r="B975" s="26"/>
      <c r="C975" s="26"/>
    </row>
    <row r="976">
      <c r="B976" s="26"/>
      <c r="C976" s="26"/>
    </row>
    <row r="977">
      <c r="B977" s="26"/>
      <c r="C977" s="26"/>
    </row>
    <row r="978">
      <c r="B978" s="26"/>
      <c r="C978" s="26"/>
    </row>
    <row r="979">
      <c r="B979" s="26"/>
      <c r="C979" s="26"/>
    </row>
    <row r="980">
      <c r="B980" s="26"/>
      <c r="C980" s="26"/>
    </row>
    <row r="981">
      <c r="B981" s="26"/>
      <c r="C981" s="26"/>
    </row>
    <row r="982">
      <c r="B982" s="26"/>
      <c r="C982" s="26"/>
    </row>
    <row r="983">
      <c r="B983" s="26"/>
      <c r="C983" s="26"/>
    </row>
    <row r="984">
      <c r="B984" s="26"/>
      <c r="C984" s="26"/>
    </row>
    <row r="985">
      <c r="B985" s="26"/>
      <c r="C985" s="26"/>
    </row>
    <row r="986">
      <c r="B986" s="26"/>
      <c r="C986" s="26"/>
    </row>
    <row r="987">
      <c r="B987" s="26"/>
      <c r="C987" s="26"/>
    </row>
    <row r="988">
      <c r="B988" s="26"/>
      <c r="C988" s="26"/>
    </row>
    <row r="989">
      <c r="B989" s="26"/>
      <c r="C989" s="26"/>
    </row>
    <row r="990">
      <c r="B990" s="26"/>
      <c r="C990" s="26"/>
    </row>
    <row r="991">
      <c r="B991" s="26"/>
      <c r="C991" s="26"/>
    </row>
    <row r="992">
      <c r="B992" s="26"/>
      <c r="C992" s="26"/>
    </row>
    <row r="993">
      <c r="B993" s="26"/>
      <c r="C993" s="26"/>
    </row>
    <row r="994">
      <c r="B994" s="26"/>
      <c r="C994" s="26"/>
    </row>
    <row r="995">
      <c r="B995" s="26"/>
      <c r="C995" s="26"/>
    </row>
    <row r="996">
      <c r="B996" s="26"/>
      <c r="C996" s="26"/>
    </row>
    <row r="997">
      <c r="B997" s="26"/>
      <c r="C997" s="26"/>
    </row>
    <row r="998">
      <c r="B998" s="26"/>
      <c r="C998" s="26"/>
    </row>
    <row r="999">
      <c r="B999" s="26"/>
      <c r="C999" s="26"/>
    </row>
    <row r="1000">
      <c r="B1000" s="26"/>
      <c r="C1000" s="26"/>
    </row>
    <row r="1001">
      <c r="B1001" s="26"/>
      <c r="C1001" s="26"/>
    </row>
    <row r="1002">
      <c r="B1002" s="26"/>
      <c r="C1002" s="26"/>
    </row>
    <row r="1003">
      <c r="B1003" s="26"/>
      <c r="C1003" s="26"/>
    </row>
    <row r="1004">
      <c r="B1004" s="26"/>
      <c r="C1004" s="2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3.38"/>
    <col customWidth="1" min="3" max="3" width="18.75"/>
    <col customWidth="1" min="4" max="4" width="19.88"/>
    <col customWidth="1" min="5" max="5" width="26.25"/>
  </cols>
  <sheetData>
    <row r="1">
      <c r="A1" s="36" t="s">
        <v>9</v>
      </c>
      <c r="B1" s="37" t="s">
        <v>69</v>
      </c>
      <c r="C1" s="37" t="s">
        <v>31</v>
      </c>
      <c r="D1" s="37" t="s">
        <v>34</v>
      </c>
      <c r="E1" s="37" t="s">
        <v>5</v>
      </c>
      <c r="F1" s="38"/>
      <c r="G1" s="38"/>
      <c r="H1" s="38"/>
      <c r="I1" s="38"/>
      <c r="J1" s="38"/>
      <c r="K1" s="38"/>
      <c r="L1" s="38"/>
      <c r="M1" s="38"/>
      <c r="N1" s="38"/>
      <c r="O1" s="38"/>
      <c r="P1" s="38"/>
      <c r="Q1" s="38"/>
      <c r="R1" s="38"/>
      <c r="S1" s="38"/>
      <c r="T1" s="38"/>
      <c r="U1" s="38"/>
      <c r="V1" s="38"/>
      <c r="W1" s="38"/>
      <c r="X1" s="38"/>
      <c r="Y1" s="38"/>
      <c r="Z1" s="38"/>
    </row>
    <row r="2">
      <c r="A2" s="39">
        <v>45938.082470231486</v>
      </c>
      <c r="B2" s="3" t="s">
        <v>1196</v>
      </c>
      <c r="C2" s="3" t="s">
        <v>949</v>
      </c>
      <c r="D2" s="3" t="s">
        <v>950</v>
      </c>
      <c r="E2" s="3" t="s">
        <v>951</v>
      </c>
    </row>
    <row r="3">
      <c r="A3" s="39">
        <v>45938.80664322917</v>
      </c>
      <c r="B3" s="3" t="s">
        <v>1198</v>
      </c>
      <c r="C3" s="3" t="s">
        <v>670</v>
      </c>
      <c r="D3" s="3" t="s">
        <v>957</v>
      </c>
      <c r="E3" s="3" t="s">
        <v>958</v>
      </c>
    </row>
    <row r="4">
      <c r="A4" s="39">
        <v>45939.34375680555</v>
      </c>
      <c r="B4" s="3" t="s">
        <v>1199</v>
      </c>
      <c r="C4" s="3" t="s">
        <v>1200</v>
      </c>
      <c r="D4" s="3" t="s">
        <v>976</v>
      </c>
      <c r="E4" s="3" t="s">
        <v>977</v>
      </c>
    </row>
    <row r="5">
      <c r="A5" s="39">
        <v>45939.792381458334</v>
      </c>
      <c r="B5" s="3" t="s">
        <v>1201</v>
      </c>
      <c r="C5" s="3" t="s">
        <v>603</v>
      </c>
      <c r="D5" s="3" t="s">
        <v>635</v>
      </c>
      <c r="E5" s="3" t="s">
        <v>605</v>
      </c>
    </row>
    <row r="6">
      <c r="A6" s="39">
        <v>45940.4130246875</v>
      </c>
      <c r="B6" s="3" t="s">
        <v>1202</v>
      </c>
      <c r="C6" s="3" t="s">
        <v>411</v>
      </c>
      <c r="D6" s="3" t="s">
        <v>412</v>
      </c>
      <c r="E6" s="3" t="s">
        <v>413</v>
      </c>
    </row>
    <row r="7">
      <c r="A7" s="39">
        <v>45940.9523940625</v>
      </c>
      <c r="B7" s="3" t="s">
        <v>1203</v>
      </c>
      <c r="C7" s="3" t="s">
        <v>416</v>
      </c>
      <c r="D7" s="3" t="s">
        <v>418</v>
      </c>
      <c r="E7" s="3" t="s">
        <v>419</v>
      </c>
    </row>
    <row r="8">
      <c r="A8" s="39">
        <v>45943.64928215278</v>
      </c>
      <c r="B8" s="3" t="s">
        <v>1205</v>
      </c>
      <c r="C8" s="3" t="s">
        <v>424</v>
      </c>
      <c r="D8" s="3" t="s">
        <v>425</v>
      </c>
      <c r="E8" s="3" t="s">
        <v>427</v>
      </c>
    </row>
    <row r="9">
      <c r="A9" s="39">
        <v>45944.148184687496</v>
      </c>
      <c r="B9" s="3" t="s">
        <v>1207</v>
      </c>
      <c r="C9" s="3" t="s">
        <v>437</v>
      </c>
      <c r="D9" s="3" t="s">
        <v>439</v>
      </c>
      <c r="E9" s="3" t="s">
        <v>307</v>
      </c>
    </row>
    <row r="10">
      <c r="A10" s="39">
        <v>45945.52012623842</v>
      </c>
      <c r="B10" s="3" t="s">
        <v>1208</v>
      </c>
      <c r="C10" s="3" t="s">
        <v>441</v>
      </c>
      <c r="D10" s="3" t="s">
        <v>442</v>
      </c>
      <c r="E10" s="3" t="s">
        <v>443</v>
      </c>
    </row>
    <row r="11">
      <c r="A11" s="39">
        <v>45945.85139304398</v>
      </c>
      <c r="B11" s="3" t="s">
        <v>1209</v>
      </c>
      <c r="C11" s="3" t="s">
        <v>445</v>
      </c>
      <c r="D11" s="3" t="s">
        <v>447</v>
      </c>
      <c r="E11" s="3" t="s">
        <v>448</v>
      </c>
    </row>
    <row r="12">
      <c r="A12" s="39">
        <v>45959.442802708334</v>
      </c>
      <c r="B12" s="3" t="s">
        <v>1210</v>
      </c>
      <c r="C12" s="3" t="s">
        <v>555</v>
      </c>
      <c r="D12" s="3" t="s">
        <v>556</v>
      </c>
      <c r="E12" s="3" t="s">
        <v>557</v>
      </c>
    </row>
    <row r="13">
      <c r="A13" s="39">
        <v>45960.83258457176</v>
      </c>
      <c r="B13" s="3" t="s">
        <v>1211</v>
      </c>
      <c r="C13" s="3" t="s">
        <v>77</v>
      </c>
      <c r="D13" s="3" t="s">
        <v>451</v>
      </c>
      <c r="E13" s="3" t="s">
        <v>452</v>
      </c>
    </row>
    <row r="14">
      <c r="A14" s="39">
        <v>45960.84538549768</v>
      </c>
      <c r="B14" s="3" t="s">
        <v>1212</v>
      </c>
      <c r="C14" s="3" t="s">
        <v>458</v>
      </c>
      <c r="D14" s="3" t="s">
        <v>459</v>
      </c>
      <c r="E14" s="3" t="s">
        <v>460</v>
      </c>
    </row>
    <row r="15">
      <c r="A15" s="39">
        <v>45967.93792994213</v>
      </c>
      <c r="B15" s="3" t="s">
        <v>1213</v>
      </c>
      <c r="C15" s="3" t="s">
        <v>482</v>
      </c>
      <c r="D15" s="3" t="s">
        <v>483</v>
      </c>
      <c r="E15" s="3" t="s">
        <v>485</v>
      </c>
    </row>
    <row r="16">
      <c r="A16" s="39">
        <v>45969.954228483795</v>
      </c>
      <c r="B16" s="3" t="s">
        <v>1214</v>
      </c>
      <c r="C16" s="3" t="s">
        <v>470</v>
      </c>
      <c r="D16" s="3" t="s">
        <v>471</v>
      </c>
      <c r="E16" s="3" t="s">
        <v>472</v>
      </c>
    </row>
    <row r="17">
      <c r="A17" s="39">
        <v>45971.58299164352</v>
      </c>
      <c r="B17" s="3" t="s">
        <v>1215</v>
      </c>
      <c r="C17" s="3" t="s">
        <v>564</v>
      </c>
      <c r="D17" s="3" t="s">
        <v>935</v>
      </c>
      <c r="E17" s="3" t="s">
        <v>569</v>
      </c>
    </row>
    <row r="18">
      <c r="A18" s="39">
        <v>45974.69607898148</v>
      </c>
      <c r="B18" s="3" t="s">
        <v>1216</v>
      </c>
      <c r="C18" s="3" t="s">
        <v>487</v>
      </c>
      <c r="D18" s="3" t="s">
        <v>488</v>
      </c>
      <c r="E18" s="3" t="s">
        <v>489</v>
      </c>
    </row>
    <row r="19">
      <c r="A19" s="39">
        <v>45974.70075199074</v>
      </c>
      <c r="B19" s="3" t="s">
        <v>1217</v>
      </c>
      <c r="C19" s="3" t="s">
        <v>1120</v>
      </c>
      <c r="D19" s="3" t="s">
        <v>1122</v>
      </c>
      <c r="E19" s="3" t="s">
        <v>1124</v>
      </c>
    </row>
    <row r="20">
      <c r="A20" s="39">
        <v>45974.971333379624</v>
      </c>
      <c r="B20" s="3" t="s">
        <v>1218</v>
      </c>
      <c r="C20" s="3" t="s">
        <v>491</v>
      </c>
      <c r="D20" s="3" t="s">
        <v>492</v>
      </c>
      <c r="E20" s="3" t="s">
        <v>493</v>
      </c>
    </row>
    <row r="21">
      <c r="A21" s="39">
        <v>45975.50049474537</v>
      </c>
      <c r="B21" s="3" t="s">
        <v>1221</v>
      </c>
      <c r="C21" s="3" t="s">
        <v>506</v>
      </c>
      <c r="D21" s="3" t="s">
        <v>507</v>
      </c>
      <c r="E21" s="3" t="s">
        <v>508</v>
      </c>
    </row>
    <row r="22">
      <c r="A22" s="39">
        <v>45983.179910046296</v>
      </c>
      <c r="B22" s="3" t="s">
        <v>1222</v>
      </c>
      <c r="C22" s="3" t="s">
        <v>526</v>
      </c>
      <c r="D22" s="3" t="s">
        <v>527</v>
      </c>
      <c r="E22" s="3" t="s">
        <v>528</v>
      </c>
    </row>
    <row r="23">
      <c r="A23" s="39">
        <v>45984.01832091435</v>
      </c>
      <c r="B23" s="3" t="s">
        <v>1223</v>
      </c>
      <c r="C23" s="3" t="s">
        <v>534</v>
      </c>
      <c r="D23" s="3" t="s">
        <v>535</v>
      </c>
      <c r="E23" s="3" t="s">
        <v>536</v>
      </c>
    </row>
    <row r="24">
      <c r="A24" s="39">
        <v>45985.25232167824</v>
      </c>
      <c r="B24" s="3" t="s">
        <v>1224</v>
      </c>
      <c r="C24" s="3" t="s">
        <v>530</v>
      </c>
      <c r="D24" s="3" t="s">
        <v>531</v>
      </c>
      <c r="E24" s="3" t="s">
        <v>532</v>
      </c>
    </row>
    <row r="25">
      <c r="A25" s="39">
        <v>45985.69543190973</v>
      </c>
      <c r="B25" s="3" t="s">
        <v>1225</v>
      </c>
      <c r="C25" s="3" t="s">
        <v>543</v>
      </c>
      <c r="D25" s="3" t="s">
        <v>544</v>
      </c>
      <c r="E25" s="3" t="s">
        <v>545</v>
      </c>
    </row>
    <row r="26">
      <c r="A26" s="39">
        <v>45989.96114962963</v>
      </c>
      <c r="B26" s="3" t="s">
        <v>1226</v>
      </c>
      <c r="C26" s="3" t="s">
        <v>551</v>
      </c>
      <c r="D26" s="3" t="s">
        <v>552</v>
      </c>
      <c r="E26" s="3" t="s">
        <v>553</v>
      </c>
    </row>
    <row r="27">
      <c r="A27" s="39">
        <v>45992.517426782404</v>
      </c>
      <c r="B27" s="3" t="s">
        <v>1229</v>
      </c>
      <c r="C27" s="3" t="s">
        <v>555</v>
      </c>
      <c r="D27" s="3" t="s">
        <v>556</v>
      </c>
      <c r="E27" s="3" t="s">
        <v>557</v>
      </c>
    </row>
    <row r="28">
      <c r="A28" s="39">
        <v>45992.52064924769</v>
      </c>
      <c r="B28" s="3" t="s">
        <v>1230</v>
      </c>
      <c r="C28" s="3" t="s">
        <v>555</v>
      </c>
      <c r="D28" s="3" t="s">
        <v>556</v>
      </c>
      <c r="E28" s="3" t="s">
        <v>557</v>
      </c>
    </row>
    <row r="29">
      <c r="A29" s="39">
        <v>45992.793698298614</v>
      </c>
      <c r="B29" s="3" t="s">
        <v>1231</v>
      </c>
      <c r="C29" s="3" t="s">
        <v>226</v>
      </c>
      <c r="D29" s="3" t="s">
        <v>561</v>
      </c>
      <c r="E29" s="3" t="s">
        <v>562</v>
      </c>
    </row>
    <row r="30">
      <c r="A30" s="39">
        <v>45992.94088916667</v>
      </c>
      <c r="B30" s="3" t="s">
        <v>1232</v>
      </c>
      <c r="C30" s="3" t="s">
        <v>566</v>
      </c>
      <c r="D30" s="3" t="s">
        <v>568</v>
      </c>
      <c r="E30" s="3" t="s">
        <v>571</v>
      </c>
    </row>
    <row r="31">
      <c r="A31" s="39">
        <v>45994.834451331015</v>
      </c>
      <c r="B31" s="3" t="s">
        <v>1233</v>
      </c>
      <c r="C31" s="3" t="s">
        <v>573</v>
      </c>
      <c r="D31" s="3" t="s">
        <v>574</v>
      </c>
      <c r="E31" s="3" t="s">
        <v>26</v>
      </c>
    </row>
    <row r="32">
      <c r="A32" s="39">
        <v>45995.86916475694</v>
      </c>
      <c r="B32" s="3" t="s">
        <v>1234</v>
      </c>
      <c r="C32" s="3" t="s">
        <v>1157</v>
      </c>
      <c r="D32" s="3" t="s">
        <v>1158</v>
      </c>
      <c r="E32" s="3" t="s">
        <v>1159</v>
      </c>
    </row>
    <row r="33">
      <c r="A33" s="39">
        <v>45996.83774390046</v>
      </c>
      <c r="B33" s="3" t="s">
        <v>1236</v>
      </c>
      <c r="C33" s="3" t="s">
        <v>577</v>
      </c>
      <c r="D33" s="3" t="s">
        <v>578</v>
      </c>
      <c r="E33" s="3" t="s">
        <v>579</v>
      </c>
    </row>
    <row r="34">
      <c r="A34" s="39">
        <v>45997.93233967593</v>
      </c>
      <c r="B34" s="3" t="s">
        <v>1238</v>
      </c>
      <c r="C34" s="3" t="s">
        <v>482</v>
      </c>
      <c r="D34" s="3" t="s">
        <v>483</v>
      </c>
      <c r="E34" s="3" t="s">
        <v>485</v>
      </c>
    </row>
    <row r="35">
      <c r="A35" s="39">
        <v>46000.808697430555</v>
      </c>
      <c r="B35" s="3" t="s">
        <v>1239</v>
      </c>
      <c r="C35" s="3" t="s">
        <v>269</v>
      </c>
      <c r="D35" s="3" t="s">
        <v>581</v>
      </c>
      <c r="E35" s="3" t="s">
        <v>582</v>
      </c>
    </row>
    <row r="36">
      <c r="A36" s="39">
        <v>46001.05522045139</v>
      </c>
      <c r="B36" s="3" t="s">
        <v>1240</v>
      </c>
      <c r="C36" s="3" t="s">
        <v>584</v>
      </c>
      <c r="D36" s="3" t="s">
        <v>585</v>
      </c>
      <c r="E36" s="3" t="s">
        <v>586</v>
      </c>
    </row>
    <row r="37">
      <c r="A37" s="39">
        <v>46001.08667204861</v>
      </c>
      <c r="B37" s="3" t="s">
        <v>1241</v>
      </c>
      <c r="C37" s="3" t="s">
        <v>588</v>
      </c>
      <c r="D37" s="3" t="s">
        <v>589</v>
      </c>
      <c r="E37" s="3" t="s">
        <v>590</v>
      </c>
    </row>
    <row r="38">
      <c r="A38" s="39">
        <v>46001.68752412037</v>
      </c>
      <c r="B38" s="3" t="s">
        <v>1242</v>
      </c>
      <c r="C38" s="3" t="s">
        <v>564</v>
      </c>
      <c r="D38" s="3" t="s">
        <v>935</v>
      </c>
      <c r="E38" s="3" t="s">
        <v>569</v>
      </c>
    </row>
    <row r="39">
      <c r="A39" s="39">
        <v>46002.218570868055</v>
      </c>
      <c r="B39" s="3" t="s">
        <v>1243</v>
      </c>
      <c r="C39" s="3" t="s">
        <v>592</v>
      </c>
      <c r="D39" s="3" t="s">
        <v>593</v>
      </c>
      <c r="E39" s="3" t="s">
        <v>595</v>
      </c>
    </row>
    <row r="40">
      <c r="A40" s="39">
        <v>46002.39354125</v>
      </c>
      <c r="B40" s="3" t="s">
        <v>1246</v>
      </c>
      <c r="C40" s="3" t="s">
        <v>597</v>
      </c>
      <c r="D40" s="3" t="s">
        <v>598</v>
      </c>
      <c r="E40" s="3" t="s">
        <v>600</v>
      </c>
    </row>
    <row r="41">
      <c r="A41" s="39">
        <v>46006.53033861111</v>
      </c>
      <c r="B41" s="3" t="s">
        <v>1247</v>
      </c>
      <c r="C41" s="3" t="s">
        <v>176</v>
      </c>
      <c r="D41" s="3" t="s">
        <v>488</v>
      </c>
      <c r="E41" s="3" t="s">
        <v>489</v>
      </c>
    </row>
    <row r="42">
      <c r="A42" s="39">
        <v>46010.49961339121</v>
      </c>
      <c r="B42" s="3" t="s">
        <v>1248</v>
      </c>
      <c r="C42" s="3" t="s">
        <v>603</v>
      </c>
      <c r="D42" s="3" t="s">
        <v>604</v>
      </c>
      <c r="E42" s="3" t="s">
        <v>605</v>
      </c>
    </row>
    <row r="43">
      <c r="A43" s="39">
        <v>46010.698396921296</v>
      </c>
      <c r="B43" s="3" t="s">
        <v>1249</v>
      </c>
      <c r="C43" s="3" t="s">
        <v>607</v>
      </c>
      <c r="D43" s="3" t="s">
        <v>608</v>
      </c>
      <c r="E43" s="3" t="s">
        <v>609</v>
      </c>
    </row>
    <row r="44">
      <c r="A44" s="39">
        <v>46010.70666174768</v>
      </c>
      <c r="B44" s="3" t="s">
        <v>1250</v>
      </c>
      <c r="C44" s="3" t="s">
        <v>611</v>
      </c>
      <c r="D44" s="3" t="s">
        <v>608</v>
      </c>
      <c r="E44" s="3" t="s">
        <v>612</v>
      </c>
    </row>
    <row r="45">
      <c r="A45" s="39">
        <v>46010.840240798614</v>
      </c>
      <c r="B45" s="3" t="s">
        <v>1252</v>
      </c>
      <c r="C45" s="3" t="s">
        <v>577</v>
      </c>
      <c r="D45" s="3" t="s">
        <v>614</v>
      </c>
      <c r="E45" s="3" t="s">
        <v>615</v>
      </c>
    </row>
    <row r="46">
      <c r="A46" s="39">
        <v>46011.646331076394</v>
      </c>
      <c r="B46" s="3" t="s">
        <v>1253</v>
      </c>
      <c r="C46" s="3" t="s">
        <v>573</v>
      </c>
      <c r="D46" s="3" t="s">
        <v>574</v>
      </c>
      <c r="E46" s="3" t="s">
        <v>26</v>
      </c>
    </row>
    <row r="47">
      <c r="A47" s="39">
        <v>46011.969969224534</v>
      </c>
      <c r="B47" s="3" t="s">
        <v>1255</v>
      </c>
      <c r="C47" s="3" t="s">
        <v>617</v>
      </c>
      <c r="D47" s="3" t="s">
        <v>618</v>
      </c>
      <c r="E47" s="3" t="s">
        <v>619</v>
      </c>
    </row>
    <row r="48">
      <c r="A48" s="39">
        <v>46014.79758809028</v>
      </c>
      <c r="B48" s="3" t="s">
        <v>1257</v>
      </c>
      <c r="C48" s="3" t="s">
        <v>573</v>
      </c>
      <c r="D48" s="3" t="s">
        <v>574</v>
      </c>
      <c r="E48" s="3" t="s">
        <v>26</v>
      </c>
    </row>
    <row r="49">
      <c r="A49" s="39">
        <v>46018.63235901621</v>
      </c>
      <c r="B49" s="3" t="s">
        <v>1258</v>
      </c>
      <c r="C49" s="3" t="s">
        <v>573</v>
      </c>
      <c r="D49" s="3" t="s">
        <v>574</v>
      </c>
      <c r="E49" s="3" t="s">
        <v>26</v>
      </c>
    </row>
    <row r="50">
      <c r="A50" s="39">
        <v>46020.444613368054</v>
      </c>
      <c r="B50" s="3" t="s">
        <v>1260</v>
      </c>
      <c r="C50" s="3" t="s">
        <v>573</v>
      </c>
      <c r="D50" s="3" t="s">
        <v>574</v>
      </c>
      <c r="E50" s="3" t="s">
        <v>26</v>
      </c>
    </row>
    <row r="51">
      <c r="A51" s="39">
        <v>46020.45081775463</v>
      </c>
      <c r="B51" s="3" t="s">
        <v>1261</v>
      </c>
      <c r="C51" s="3" t="s">
        <v>573</v>
      </c>
      <c r="D51" s="3" t="s">
        <v>574</v>
      </c>
      <c r="E51" s="3" t="s">
        <v>26</v>
      </c>
    </row>
    <row r="52">
      <c r="A52" s="39">
        <v>46020.45179378473</v>
      </c>
      <c r="B52" s="3" t="s">
        <v>1262</v>
      </c>
      <c r="C52" s="3" t="s">
        <v>573</v>
      </c>
      <c r="D52" s="3" t="s">
        <v>574</v>
      </c>
      <c r="E52" s="3" t="s">
        <v>26</v>
      </c>
    </row>
    <row r="53">
      <c r="A53" s="39">
        <v>46020.45560887731</v>
      </c>
      <c r="B53" s="3" t="s">
        <v>1263</v>
      </c>
      <c r="C53" s="3" t="s">
        <v>573</v>
      </c>
      <c r="D53" s="3" t="s">
        <v>574</v>
      </c>
      <c r="E53" s="3" t="s">
        <v>26</v>
      </c>
    </row>
    <row r="54">
      <c r="A54" s="39">
        <v>46020.49700516203</v>
      </c>
      <c r="B54" s="3" t="s">
        <v>1264</v>
      </c>
      <c r="C54" s="3" t="s">
        <v>630</v>
      </c>
      <c r="D54" s="3" t="s">
        <v>631</v>
      </c>
      <c r="E54" s="3" t="s">
        <v>632</v>
      </c>
    </row>
    <row r="55">
      <c r="A55" s="39">
        <v>46020.52488737268</v>
      </c>
      <c r="B55" s="3" t="s">
        <v>1265</v>
      </c>
      <c r="C55" s="3" t="s">
        <v>630</v>
      </c>
      <c r="D55" s="3" t="s">
        <v>631</v>
      </c>
      <c r="E55" s="3" t="s">
        <v>632</v>
      </c>
    </row>
    <row r="56">
      <c r="A56" s="39">
        <v>46020.55963579861</v>
      </c>
      <c r="B56" s="3" t="s">
        <v>1267</v>
      </c>
      <c r="C56" s="3" t="s">
        <v>603</v>
      </c>
      <c r="D56" s="3" t="s">
        <v>635</v>
      </c>
      <c r="E56" s="3" t="s">
        <v>605</v>
      </c>
    </row>
    <row r="57">
      <c r="A57" s="39">
        <v>46020.78011269676</v>
      </c>
      <c r="B57" s="3" t="s">
        <v>1268</v>
      </c>
      <c r="C57" s="3" t="s">
        <v>573</v>
      </c>
      <c r="D57" s="3" t="s">
        <v>574</v>
      </c>
      <c r="E57" s="3" t="s">
        <v>26</v>
      </c>
    </row>
    <row r="58">
      <c r="A58" s="39">
        <v>46020.83411295139</v>
      </c>
      <c r="B58" s="3" t="s">
        <v>1270</v>
      </c>
      <c r="C58" s="3" t="s">
        <v>573</v>
      </c>
      <c r="D58" s="3" t="s">
        <v>574</v>
      </c>
      <c r="E58" s="3" t="s">
        <v>26</v>
      </c>
    </row>
    <row r="59">
      <c r="A59" s="39">
        <v>46020.852103067125</v>
      </c>
      <c r="B59" s="3" t="s">
        <v>1272</v>
      </c>
      <c r="C59" s="3" t="s">
        <v>573</v>
      </c>
      <c r="D59" s="3" t="s">
        <v>574</v>
      </c>
      <c r="E59" s="3" t="s">
        <v>26</v>
      </c>
    </row>
    <row r="60">
      <c r="A60" s="39">
        <v>46020.856246111114</v>
      </c>
      <c r="B60" s="3" t="s">
        <v>1273</v>
      </c>
      <c r="C60" s="3" t="s">
        <v>641</v>
      </c>
      <c r="D60" s="3" t="s">
        <v>642</v>
      </c>
      <c r="E60" s="3" t="s">
        <v>643</v>
      </c>
    </row>
    <row r="61">
      <c r="A61" s="39">
        <v>46020.860914074074</v>
      </c>
      <c r="B61" s="3" t="s">
        <v>1274</v>
      </c>
      <c r="C61" s="3" t="s">
        <v>573</v>
      </c>
      <c r="D61" s="3" t="s">
        <v>574</v>
      </c>
      <c r="E61" s="3" t="s">
        <v>643</v>
      </c>
    </row>
    <row r="62">
      <c r="A62" s="39">
        <v>46020.87118883102</v>
      </c>
      <c r="B62" s="3" t="s">
        <v>1275</v>
      </c>
      <c r="C62" s="3" t="s">
        <v>573</v>
      </c>
      <c r="D62" s="3" t="s">
        <v>574</v>
      </c>
      <c r="E62" s="3" t="s">
        <v>643</v>
      </c>
    </row>
    <row r="63">
      <c r="A63" s="39">
        <v>46020.97608789352</v>
      </c>
      <c r="B63" s="3" t="s">
        <v>1276</v>
      </c>
      <c r="C63" s="3" t="s">
        <v>226</v>
      </c>
      <c r="D63" s="3" t="s">
        <v>561</v>
      </c>
      <c r="E63" s="3" t="s">
        <v>647</v>
      </c>
    </row>
    <row r="64">
      <c r="A64" s="39">
        <v>46021.59055581018</v>
      </c>
      <c r="B64" s="3" t="s">
        <v>1279</v>
      </c>
      <c r="C64" s="3" t="s">
        <v>226</v>
      </c>
      <c r="D64" s="3" t="s">
        <v>561</v>
      </c>
      <c r="E64" s="3" t="s">
        <v>647</v>
      </c>
    </row>
    <row r="65">
      <c r="A65" s="39">
        <v>46021.592282129626</v>
      </c>
      <c r="B65" s="3" t="s">
        <v>1280</v>
      </c>
      <c r="C65" s="3" t="s">
        <v>226</v>
      </c>
      <c r="D65" s="3" t="s">
        <v>561</v>
      </c>
      <c r="E65" s="3" t="s">
        <v>650</v>
      </c>
    </row>
    <row r="66">
      <c r="A66" s="39">
        <v>46021.98945328704</v>
      </c>
      <c r="B66" s="3" t="s">
        <v>1282</v>
      </c>
      <c r="C66" s="3" t="s">
        <v>176</v>
      </c>
      <c r="D66" s="3" t="s">
        <v>551</v>
      </c>
      <c r="E66" s="3" t="s">
        <v>178</v>
      </c>
    </row>
    <row r="67">
      <c r="A67" s="39">
        <v>46026.24801733796</v>
      </c>
      <c r="B67" s="3" t="s">
        <v>1283</v>
      </c>
      <c r="C67" s="3" t="s">
        <v>257</v>
      </c>
      <c r="D67" s="3" t="s">
        <v>653</v>
      </c>
      <c r="E67" s="3" t="s">
        <v>259</v>
      </c>
    </row>
    <row r="68">
      <c r="A68" s="39">
        <v>46027.985520648144</v>
      </c>
      <c r="B68" s="3" t="s">
        <v>1284</v>
      </c>
      <c r="C68" s="3" t="s">
        <v>655</v>
      </c>
      <c r="D68" s="3" t="s">
        <v>656</v>
      </c>
      <c r="E68" s="3" t="s">
        <v>657</v>
      </c>
    </row>
    <row r="69">
      <c r="A69" s="39">
        <v>46028.667668229165</v>
      </c>
      <c r="B69" s="3" t="s">
        <v>1285</v>
      </c>
      <c r="C69" s="3" t="s">
        <v>660</v>
      </c>
      <c r="D69" s="3" t="s">
        <v>661</v>
      </c>
      <c r="E69" s="3" t="s">
        <v>662</v>
      </c>
    </row>
    <row r="70">
      <c r="A70" s="39">
        <v>46029.911397696764</v>
      </c>
      <c r="B70" s="3" t="s">
        <v>1286</v>
      </c>
      <c r="C70" s="3" t="s">
        <v>665</v>
      </c>
      <c r="D70" s="3" t="s">
        <v>666</v>
      </c>
      <c r="E70" s="3" t="s">
        <v>460</v>
      </c>
    </row>
    <row r="71">
      <c r="A71" s="39">
        <v>46031.74082740741</v>
      </c>
      <c r="B71" s="3" t="s">
        <v>1287</v>
      </c>
      <c r="C71" s="3" t="s">
        <v>670</v>
      </c>
      <c r="D71" s="3" t="s">
        <v>671</v>
      </c>
      <c r="E71" s="3" t="s">
        <v>672</v>
      </c>
    </row>
    <row r="72">
      <c r="A72" s="39">
        <v>46034.55079309028</v>
      </c>
      <c r="B72" s="3" t="s">
        <v>1289</v>
      </c>
      <c r="C72" s="3" t="s">
        <v>25</v>
      </c>
      <c r="E72" s="3" t="s">
        <v>26</v>
      </c>
    </row>
    <row r="73">
      <c r="A73" s="39">
        <v>46034.59646271991</v>
      </c>
      <c r="B73" s="3" t="s">
        <v>1291</v>
      </c>
      <c r="C73" s="3" t="s">
        <v>676</v>
      </c>
      <c r="E73" s="3" t="s">
        <v>26</v>
      </c>
    </row>
    <row r="74">
      <c r="A74" s="39">
        <v>46036.71810423611</v>
      </c>
      <c r="B74" s="3" t="s">
        <v>1292</v>
      </c>
      <c r="C74" s="3" t="s">
        <v>678</v>
      </c>
      <c r="E74" s="3" t="s">
        <v>679</v>
      </c>
    </row>
    <row r="75">
      <c r="A75" s="39">
        <v>46037.91022020833</v>
      </c>
      <c r="B75" s="3" t="s">
        <v>1294</v>
      </c>
      <c r="C75" s="3" t="s">
        <v>682</v>
      </c>
      <c r="E75" s="3" t="s">
        <v>683</v>
      </c>
    </row>
    <row r="76">
      <c r="A76" s="39">
        <v>46038.112341932865</v>
      </c>
      <c r="B76" s="3" t="s">
        <v>1295</v>
      </c>
      <c r="C76" s="3" t="s">
        <v>685</v>
      </c>
      <c r="E76" s="3" t="s">
        <v>686</v>
      </c>
    </row>
    <row r="77">
      <c r="A77" s="39">
        <v>46038.14967989583</v>
      </c>
      <c r="B77" s="3" t="s">
        <v>1296</v>
      </c>
      <c r="C77" s="3" t="s">
        <v>1297</v>
      </c>
      <c r="E77" s="3" t="s">
        <v>689</v>
      </c>
    </row>
    <row r="78">
      <c r="A78" s="39">
        <v>46040.5939605787</v>
      </c>
      <c r="B78" s="3" t="s">
        <v>1298</v>
      </c>
      <c r="C78" s="3" t="s">
        <v>691</v>
      </c>
      <c r="E78" s="3" t="s">
        <v>336</v>
      </c>
    </row>
    <row r="79">
      <c r="A79" s="39">
        <v>46041.900750925925</v>
      </c>
      <c r="B79" s="3" t="s">
        <v>1299</v>
      </c>
      <c r="C79" s="3" t="s">
        <v>693</v>
      </c>
      <c r="E79" s="3" t="s">
        <v>694</v>
      </c>
    </row>
    <row r="80">
      <c r="A80" s="39">
        <v>46042.58675310185</v>
      </c>
      <c r="B80" s="3" t="s">
        <v>1300</v>
      </c>
      <c r="C80" s="3" t="s">
        <v>676</v>
      </c>
      <c r="E80" s="3" t="s">
        <v>26</v>
      </c>
    </row>
    <row r="81">
      <c r="A81" s="39">
        <v>46042.58892447916</v>
      </c>
      <c r="B81" s="3" t="s">
        <v>1301</v>
      </c>
      <c r="C81" s="3" t="s">
        <v>676</v>
      </c>
      <c r="E81" s="3" t="s">
        <v>26</v>
      </c>
    </row>
    <row r="82">
      <c r="A82" s="39">
        <v>46042.59401696759</v>
      </c>
      <c r="B82" s="3" t="s">
        <v>1302</v>
      </c>
      <c r="C82" s="3" t="s">
        <v>641</v>
      </c>
      <c r="E82" s="3" t="s">
        <v>26</v>
      </c>
    </row>
    <row r="83">
      <c r="A83" s="39">
        <v>46042.61539622685</v>
      </c>
      <c r="B83" s="3" t="s">
        <v>1303</v>
      </c>
      <c r="C83" s="3" t="s">
        <v>699</v>
      </c>
      <c r="E83" s="3" t="s">
        <v>26</v>
      </c>
    </row>
    <row r="84">
      <c r="A84" s="39">
        <v>46042.645440092594</v>
      </c>
      <c r="B84" s="3" t="s">
        <v>1304</v>
      </c>
      <c r="C84" s="3" t="s">
        <v>703</v>
      </c>
      <c r="E84" s="3" t="s">
        <v>704</v>
      </c>
    </row>
    <row r="85">
      <c r="A85" s="39">
        <v>46043.574655324075</v>
      </c>
      <c r="B85" s="3" t="s">
        <v>1305</v>
      </c>
      <c r="C85" s="3" t="s">
        <v>706</v>
      </c>
      <c r="E85" s="3" t="s">
        <v>704</v>
      </c>
    </row>
    <row r="86">
      <c r="A86" s="39">
        <v>46043.59663480324</v>
      </c>
      <c r="B86" s="3" t="s">
        <v>1306</v>
      </c>
      <c r="C86" s="3" t="s">
        <v>676</v>
      </c>
      <c r="E86" s="3" t="s">
        <v>26</v>
      </c>
    </row>
    <row r="87">
      <c r="A87" s="39">
        <v>46044.67005436342</v>
      </c>
      <c r="B87" s="3" t="s">
        <v>1307</v>
      </c>
      <c r="C87" s="3" t="s">
        <v>713</v>
      </c>
      <c r="E87" s="3" t="s">
        <v>704</v>
      </c>
    </row>
    <row r="88">
      <c r="A88" s="39">
        <v>46044.68175174769</v>
      </c>
      <c r="B88" s="3" t="s">
        <v>1308</v>
      </c>
      <c r="C88" s="3" t="s">
        <v>641</v>
      </c>
      <c r="E88" s="3" t="s">
        <v>26</v>
      </c>
    </row>
    <row r="89">
      <c r="A89" s="39">
        <v>46044.7424633912</v>
      </c>
      <c r="B89" s="3" t="s">
        <v>1310</v>
      </c>
      <c r="C89" s="3" t="s">
        <v>676</v>
      </c>
      <c r="E89" s="3" t="s">
        <v>26</v>
      </c>
    </row>
    <row r="90">
      <c r="A90" s="39">
        <v>46045.56880178241</v>
      </c>
      <c r="B90" s="3" t="s">
        <v>1311</v>
      </c>
      <c r="C90" s="3" t="s">
        <v>676</v>
      </c>
      <c r="E90" s="3" t="s">
        <v>718</v>
      </c>
    </row>
    <row r="91">
      <c r="A91" s="39">
        <v>46045.65214136574</v>
      </c>
      <c r="B91" s="3" t="s">
        <v>1312</v>
      </c>
      <c r="C91" s="3" t="s">
        <v>43</v>
      </c>
      <c r="E91" s="3" t="s">
        <v>44</v>
      </c>
    </row>
    <row r="92">
      <c r="A92" s="39">
        <v>46047.02571229167</v>
      </c>
      <c r="B92" s="3" t="s">
        <v>1313</v>
      </c>
      <c r="C92" s="3" t="s">
        <v>721</v>
      </c>
      <c r="E92" s="3" t="s">
        <v>722</v>
      </c>
    </row>
    <row r="93">
      <c r="A93" s="39">
        <v>46048.016383379625</v>
      </c>
      <c r="B93" s="3" t="s">
        <v>1314</v>
      </c>
      <c r="C93" s="3" t="s">
        <v>724</v>
      </c>
      <c r="E93" s="3" t="s">
        <v>725</v>
      </c>
    </row>
    <row r="94">
      <c r="A94" s="39">
        <v>46050.86667157407</v>
      </c>
      <c r="B94" s="3" t="s">
        <v>1315</v>
      </c>
      <c r="C94" s="3" t="s">
        <v>727</v>
      </c>
      <c r="E94" s="3" t="s">
        <v>728</v>
      </c>
    </row>
    <row r="95">
      <c r="A95" s="39">
        <v>46058.41581085648</v>
      </c>
      <c r="B95" s="3" t="s">
        <v>1316</v>
      </c>
      <c r="C95" s="3" t="s">
        <v>730</v>
      </c>
      <c r="E95" s="3" t="s">
        <v>731</v>
      </c>
    </row>
    <row r="96">
      <c r="A96" s="39">
        <v>46064.84870121528</v>
      </c>
      <c r="B96" s="3" t="s">
        <v>1317</v>
      </c>
      <c r="C96" s="3" t="s">
        <v>741</v>
      </c>
      <c r="E96" s="3" t="s">
        <v>742</v>
      </c>
      <c r="F96" s="41">
        <v>32.0</v>
      </c>
    </row>
    <row r="97">
      <c r="A97" s="39">
        <v>46064.848702187504</v>
      </c>
      <c r="B97" s="3" t="s">
        <v>1318</v>
      </c>
      <c r="C97" s="3" t="s">
        <v>741</v>
      </c>
      <c r="E97" s="3" t="s">
        <v>742</v>
      </c>
      <c r="F97" s="41">
        <v>32.0</v>
      </c>
    </row>
    <row r="98">
      <c r="A98" s="39">
        <v>46064.85006953704</v>
      </c>
      <c r="B98" s="3" t="s">
        <v>1319</v>
      </c>
      <c r="C98" s="3" t="s">
        <v>676</v>
      </c>
      <c r="E98" s="3" t="s">
        <v>745</v>
      </c>
      <c r="F98" s="41">
        <v>50.0</v>
      </c>
    </row>
    <row r="99">
      <c r="A99" s="39">
        <v>46064.856756747686</v>
      </c>
      <c r="B99" s="3" t="s">
        <v>1320</v>
      </c>
      <c r="C99" s="3" t="s">
        <v>748</v>
      </c>
      <c r="E99" s="3" t="s">
        <v>749</v>
      </c>
      <c r="F99" s="41">
        <v>58.0</v>
      </c>
    </row>
    <row r="100">
      <c r="A100" s="39">
        <v>46064.91518305556</v>
      </c>
      <c r="B100" s="3" t="s">
        <v>1322</v>
      </c>
      <c r="C100" s="3" t="s">
        <v>752</v>
      </c>
      <c r="E100" s="3" t="s">
        <v>754</v>
      </c>
      <c r="F100" s="41">
        <v>46.0</v>
      </c>
    </row>
    <row r="101">
      <c r="A101" s="39">
        <v>46065.01541127315</v>
      </c>
      <c r="B101" s="3" t="s">
        <v>1324</v>
      </c>
      <c r="C101" s="3" t="s">
        <v>25</v>
      </c>
      <c r="E101" s="3" t="s">
        <v>26</v>
      </c>
      <c r="F101" s="41">
        <v>72.0</v>
      </c>
    </row>
    <row r="102">
      <c r="A102" s="39">
        <v>46066.144564270835</v>
      </c>
      <c r="B102" s="3" t="s">
        <v>1325</v>
      </c>
      <c r="C102" s="3" t="s">
        <v>641</v>
      </c>
      <c r="E102" s="3" t="s">
        <v>26</v>
      </c>
      <c r="F102" s="41">
        <v>62.0</v>
      </c>
    </row>
    <row r="103">
      <c r="A103" s="39">
        <v>46066.149907893516</v>
      </c>
      <c r="B103" s="3" t="s">
        <v>1326</v>
      </c>
      <c r="C103" s="3" t="s">
        <v>758</v>
      </c>
      <c r="E103" s="3" t="s">
        <v>26</v>
      </c>
      <c r="F103" s="41">
        <v>76.0</v>
      </c>
    </row>
    <row r="104">
      <c r="A104" s="39">
        <v>46066.15532159722</v>
      </c>
      <c r="B104" s="3" t="s">
        <v>1328</v>
      </c>
      <c r="C104" s="3" t="s">
        <v>760</v>
      </c>
      <c r="E104" s="3" t="s">
        <v>26</v>
      </c>
      <c r="F104" s="41">
        <v>68.0</v>
      </c>
    </row>
    <row r="105">
      <c r="A105" s="39">
        <v>46068.470276875</v>
      </c>
      <c r="B105" s="3" t="s">
        <v>1329</v>
      </c>
      <c r="C105" s="3" t="s">
        <v>1330</v>
      </c>
      <c r="E105" s="3" t="s">
        <v>763</v>
      </c>
      <c r="F105" s="41">
        <v>30.0</v>
      </c>
    </row>
    <row r="106">
      <c r="A106" s="39">
        <v>46069.97354658565</v>
      </c>
      <c r="B106" s="3" t="s">
        <v>1331</v>
      </c>
      <c r="C106" s="3" t="s">
        <v>765</v>
      </c>
      <c r="E106" s="3" t="s">
        <v>766</v>
      </c>
      <c r="F106" s="41">
        <v>28.0</v>
      </c>
    </row>
    <row r="107">
      <c r="A107" s="39">
        <v>46076.827912824076</v>
      </c>
      <c r="B107" s="3" t="s">
        <v>1332</v>
      </c>
      <c r="C107" s="3" t="s">
        <v>543</v>
      </c>
      <c r="E107" s="3" t="s">
        <v>768</v>
      </c>
      <c r="F107" s="41">
        <v>32.0</v>
      </c>
    </row>
    <row r="108">
      <c r="A108" s="39">
        <v>46081.04472452546</v>
      </c>
      <c r="B108" s="3" t="s">
        <v>1335</v>
      </c>
      <c r="C108" s="3" t="s">
        <v>770</v>
      </c>
      <c r="E108" s="3" t="s">
        <v>771</v>
      </c>
      <c r="F108" s="41">
        <v>30.0</v>
      </c>
    </row>
    <row r="109">
      <c r="A109" s="39">
        <v>46086.72498274306</v>
      </c>
      <c r="B109" s="3" t="s">
        <v>1336</v>
      </c>
      <c r="C109" s="3" t="s">
        <v>773</v>
      </c>
      <c r="E109" s="3" t="s">
        <v>774</v>
      </c>
      <c r="F109" s="41">
        <v>20.0</v>
      </c>
    </row>
    <row r="110">
      <c r="A110" s="39">
        <v>46092.01176842593</v>
      </c>
      <c r="B110" s="3" t="s">
        <v>1337</v>
      </c>
      <c r="C110" s="3" t="s">
        <v>776</v>
      </c>
      <c r="E110" s="3" t="s">
        <v>777</v>
      </c>
      <c r="F110" s="41">
        <v>40.0</v>
      </c>
    </row>
    <row r="111">
      <c r="A111" s="39">
        <v>46092.69385949074</v>
      </c>
      <c r="B111" s="3" t="s">
        <v>1338</v>
      </c>
      <c r="C111" s="3" t="s">
        <v>779</v>
      </c>
      <c r="E111" s="3" t="s">
        <v>780</v>
      </c>
      <c r="F111" s="41">
        <v>56.0</v>
      </c>
    </row>
    <row r="112">
      <c r="A112" s="39">
        <v>46093.72953327546</v>
      </c>
      <c r="B112" s="3" t="s">
        <v>1339</v>
      </c>
      <c r="C112" s="3" t="s">
        <v>782</v>
      </c>
      <c r="E112" s="3" t="s">
        <v>783</v>
      </c>
      <c r="F112" s="41">
        <v>30.0</v>
      </c>
    </row>
    <row r="113">
      <c r="A113" s="39">
        <v>46093.81834195602</v>
      </c>
      <c r="B113" s="3" t="s">
        <v>1340</v>
      </c>
      <c r="C113" s="3" t="s">
        <v>676</v>
      </c>
      <c r="E113" s="3" t="s">
        <v>26</v>
      </c>
      <c r="F113" s="41">
        <v>40.0</v>
      </c>
    </row>
    <row r="114">
      <c r="A114" s="39">
        <v>46093.93050584491</v>
      </c>
      <c r="B114" s="3" t="s">
        <v>1341</v>
      </c>
      <c r="C114" s="3" t="s">
        <v>721</v>
      </c>
      <c r="E114" s="3" t="s">
        <v>722</v>
      </c>
      <c r="F114" s="41">
        <v>28.0</v>
      </c>
    </row>
    <row r="115">
      <c r="A115" s="39">
        <v>46093.97357112268</v>
      </c>
      <c r="B115" s="3" t="s">
        <v>1343</v>
      </c>
      <c r="C115" s="3" t="s">
        <v>787</v>
      </c>
      <c r="E115" s="3" t="s">
        <v>788</v>
      </c>
      <c r="F115" s="41">
        <v>36.0</v>
      </c>
    </row>
    <row r="116">
      <c r="A116" s="39">
        <v>46094.116390243056</v>
      </c>
      <c r="B116" s="3" t="s">
        <v>1344</v>
      </c>
      <c r="C116" s="3" t="s">
        <v>8</v>
      </c>
      <c r="E116" s="3" t="s">
        <v>216</v>
      </c>
      <c r="F116" s="41">
        <v>24.0</v>
      </c>
    </row>
    <row r="117">
      <c r="A117" s="39">
        <v>46095.00888700232</v>
      </c>
      <c r="B117" s="3" t="s">
        <v>1346</v>
      </c>
      <c r="C117" s="3" t="s">
        <v>792</v>
      </c>
      <c r="E117" s="3" t="s">
        <v>794</v>
      </c>
      <c r="F117" s="41">
        <v>40.0</v>
      </c>
    </row>
    <row r="118">
      <c r="A118" s="39">
        <v>46096.25302993055</v>
      </c>
      <c r="B118" s="3" t="s">
        <v>1347</v>
      </c>
      <c r="C118" s="3" t="s">
        <v>797</v>
      </c>
      <c r="E118" s="3" t="s">
        <v>799</v>
      </c>
      <c r="F118" s="41">
        <v>58.0</v>
      </c>
    </row>
    <row r="119">
      <c r="A119" s="39">
        <v>46096.8935890625</v>
      </c>
      <c r="B119" s="3" t="s">
        <v>1349</v>
      </c>
      <c r="C119" s="3" t="s">
        <v>801</v>
      </c>
      <c r="E119" s="3" t="s">
        <v>802</v>
      </c>
      <c r="F119" s="41">
        <v>56.0</v>
      </c>
    </row>
    <row r="120">
      <c r="A120" s="39">
        <v>46097.44662863426</v>
      </c>
      <c r="B120" s="3" t="s">
        <v>1350</v>
      </c>
      <c r="C120" s="3" t="s">
        <v>195</v>
      </c>
      <c r="E120" s="3" t="s">
        <v>197</v>
      </c>
      <c r="F120" s="41">
        <v>44.0</v>
      </c>
    </row>
    <row r="121">
      <c r="A121" s="39">
        <v>46097.70249258102</v>
      </c>
      <c r="B121" s="3" t="s">
        <v>1351</v>
      </c>
      <c r="C121" s="3" t="s">
        <v>16</v>
      </c>
      <c r="E121" s="3" t="s">
        <v>214</v>
      </c>
      <c r="F121" s="41">
        <v>42.0</v>
      </c>
    </row>
    <row r="122">
      <c r="A122" s="39">
        <v>46097.80622125</v>
      </c>
      <c r="B122" s="3" t="s">
        <v>1352</v>
      </c>
      <c r="C122" s="3" t="s">
        <v>805</v>
      </c>
      <c r="E122" s="3" t="s">
        <v>806</v>
      </c>
      <c r="F122" s="41">
        <v>30.0</v>
      </c>
    </row>
    <row r="123">
      <c r="A123" s="39">
        <v>46099.68970072917</v>
      </c>
      <c r="B123" s="3" t="s">
        <v>1353</v>
      </c>
      <c r="C123" s="3" t="s">
        <v>42</v>
      </c>
      <c r="E123" s="3" t="s">
        <v>240</v>
      </c>
      <c r="F123" s="41">
        <v>96.0</v>
      </c>
    </row>
    <row r="124">
      <c r="A124" s="39">
        <v>46099.86359545139</v>
      </c>
      <c r="B124" s="3" t="s">
        <v>1354</v>
      </c>
      <c r="C124" s="3" t="s">
        <v>53</v>
      </c>
      <c r="E124" s="3" t="s">
        <v>809</v>
      </c>
      <c r="F124" s="41">
        <v>62.0</v>
      </c>
    </row>
    <row r="125">
      <c r="A125" s="39">
        <v>46100.46446502315</v>
      </c>
      <c r="B125" s="3" t="s">
        <v>1355</v>
      </c>
      <c r="C125" s="3" t="s">
        <v>811</v>
      </c>
      <c r="E125" s="3" t="s">
        <v>812</v>
      </c>
      <c r="F125" s="41">
        <v>48.0</v>
      </c>
    </row>
    <row r="126">
      <c r="A126" s="39">
        <v>46102.65546596065</v>
      </c>
      <c r="B126" s="3" t="s">
        <v>1357</v>
      </c>
      <c r="C126" s="3" t="s">
        <v>8</v>
      </c>
      <c r="E126" s="3" t="s">
        <v>216</v>
      </c>
      <c r="F126" s="41">
        <v>18.0</v>
      </c>
    </row>
    <row r="127">
      <c r="A127" s="39">
        <v>46107.9595429051</v>
      </c>
      <c r="B127" s="3" t="s">
        <v>1358</v>
      </c>
      <c r="C127" s="3" t="s">
        <v>815</v>
      </c>
      <c r="E127" s="3" t="s">
        <v>816</v>
      </c>
      <c r="F127" s="41">
        <v>28.0</v>
      </c>
    </row>
    <row r="128">
      <c r="A128" s="39">
        <v>46109.683912430555</v>
      </c>
      <c r="B128" s="3" t="s">
        <v>1359</v>
      </c>
      <c r="C128" s="3" t="s">
        <v>818</v>
      </c>
      <c r="E128" s="3" t="s">
        <v>819</v>
      </c>
      <c r="F128" s="41">
        <v>26.0</v>
      </c>
    </row>
    <row r="129">
      <c r="A129" s="39">
        <v>46110.225248773146</v>
      </c>
      <c r="B129" s="3" t="s">
        <v>1360</v>
      </c>
      <c r="C129" s="3" t="s">
        <v>821</v>
      </c>
      <c r="E129" s="3" t="s">
        <v>822</v>
      </c>
      <c r="F129" s="41">
        <v>30.0</v>
      </c>
    </row>
    <row r="130">
      <c r="A130" s="39">
        <v>46110.23435230324</v>
      </c>
      <c r="B130" s="3" t="s">
        <v>1361</v>
      </c>
      <c r="C130" s="3" t="s">
        <v>821</v>
      </c>
      <c r="E130" s="3" t="s">
        <v>822</v>
      </c>
      <c r="F130" s="41">
        <v>40.0</v>
      </c>
    </row>
    <row r="131">
      <c r="A131" s="39">
        <v>46110.240299108795</v>
      </c>
      <c r="B131" s="3" t="s">
        <v>1362</v>
      </c>
      <c r="C131" s="3" t="s">
        <v>821</v>
      </c>
      <c r="E131" s="3" t="s">
        <v>822</v>
      </c>
      <c r="F131" s="41">
        <v>54.0</v>
      </c>
    </row>
    <row r="132">
      <c r="A132" s="39">
        <v>46121.50767028936</v>
      </c>
      <c r="B132" s="3" t="s">
        <v>1363</v>
      </c>
      <c r="C132" s="3" t="s">
        <v>826</v>
      </c>
      <c r="E132" s="3" t="s">
        <v>827</v>
      </c>
      <c r="F132" s="41">
        <v>4.0</v>
      </c>
    </row>
    <row r="133">
      <c r="A133" s="39">
        <v>46126.14263584491</v>
      </c>
      <c r="B133" s="3" t="s">
        <v>1364</v>
      </c>
      <c r="C133" s="3" t="s">
        <v>829</v>
      </c>
      <c r="E133" s="3" t="s">
        <v>830</v>
      </c>
      <c r="F133" s="41">
        <v>0.0</v>
      </c>
    </row>
    <row r="134">
      <c r="A134" s="39">
        <v>46126.71678228009</v>
      </c>
      <c r="B134" s="3" t="s">
        <v>1365</v>
      </c>
      <c r="C134" s="3" t="s">
        <v>832</v>
      </c>
      <c r="E134" s="3" t="s">
        <v>833</v>
      </c>
      <c r="F134" s="41">
        <v>38.0</v>
      </c>
    </row>
    <row r="135">
      <c r="A135" s="39">
        <v>46128.09142070602</v>
      </c>
      <c r="B135" s="3" t="s">
        <v>1366</v>
      </c>
      <c r="C135" s="3" t="s">
        <v>835</v>
      </c>
      <c r="E135" s="3" t="s">
        <v>837</v>
      </c>
      <c r="F135" s="41">
        <v>86.0</v>
      </c>
    </row>
    <row r="136">
      <c r="A136" s="39">
        <v>46128.408523923616</v>
      </c>
      <c r="B136" s="3" t="s">
        <v>1367</v>
      </c>
      <c r="C136" s="3" t="s">
        <v>839</v>
      </c>
      <c r="E136" s="3" t="s">
        <v>841</v>
      </c>
      <c r="F136" s="41">
        <v>12.0</v>
      </c>
    </row>
    <row r="137">
      <c r="A137" s="39">
        <v>46132.90256497685</v>
      </c>
      <c r="B137" s="3" t="s">
        <v>1368</v>
      </c>
      <c r="C137" s="3" t="s">
        <v>676</v>
      </c>
      <c r="E137" s="3" t="s">
        <v>26</v>
      </c>
      <c r="F137" s="41">
        <v>58.0</v>
      </c>
    </row>
    <row r="138">
      <c r="A138" s="39">
        <v>46134.8900859375</v>
      </c>
      <c r="B138" s="3" t="s">
        <v>1369</v>
      </c>
      <c r="C138" s="3" t="s">
        <v>676</v>
      </c>
      <c r="E138" s="3" t="s">
        <v>26</v>
      </c>
      <c r="F138" s="41">
        <v>58.0</v>
      </c>
    </row>
    <row r="139">
      <c r="A139" s="39">
        <v>46137.760813263885</v>
      </c>
      <c r="B139" s="3" t="s">
        <v>1370</v>
      </c>
      <c r="C139" s="3" t="s">
        <v>847</v>
      </c>
      <c r="E139" s="3" t="s">
        <v>848</v>
      </c>
      <c r="F139" s="41">
        <v>54.0</v>
      </c>
    </row>
    <row r="140">
      <c r="A140" s="39">
        <v>46137.76109049769</v>
      </c>
      <c r="B140" s="3" t="s">
        <v>1371</v>
      </c>
      <c r="C140" s="3" t="s">
        <v>850</v>
      </c>
      <c r="E140" s="3" t="s">
        <v>851</v>
      </c>
      <c r="F140" s="41">
        <v>54.0</v>
      </c>
    </row>
    <row r="141">
      <c r="A141" s="39">
        <v>46141.56796719907</v>
      </c>
      <c r="B141" s="3" t="s">
        <v>1372</v>
      </c>
      <c r="C141" s="3" t="s">
        <v>396</v>
      </c>
      <c r="E141" s="3" t="s">
        <v>853</v>
      </c>
      <c r="F141" s="41">
        <v>44.0</v>
      </c>
    </row>
    <row r="142">
      <c r="A142" s="39">
        <v>46142.353472002316</v>
      </c>
      <c r="B142" s="3" t="s">
        <v>1373</v>
      </c>
      <c r="C142" s="3" t="s">
        <v>396</v>
      </c>
      <c r="E142" s="3" t="s">
        <v>853</v>
      </c>
      <c r="F142" s="41">
        <v>76.0</v>
      </c>
    </row>
    <row r="143">
      <c r="A143" s="39">
        <v>46143.38237706019</v>
      </c>
      <c r="B143" s="3" t="s">
        <v>1375</v>
      </c>
      <c r="C143" s="3" t="s">
        <v>856</v>
      </c>
      <c r="E143" s="3" t="s">
        <v>857</v>
      </c>
      <c r="F143" s="41">
        <v>38.0</v>
      </c>
    </row>
    <row r="144">
      <c r="A144" s="39">
        <v>46144.754816782406</v>
      </c>
      <c r="B144" s="3" t="s">
        <v>1376</v>
      </c>
      <c r="C144" s="3" t="s">
        <v>48</v>
      </c>
      <c r="E144" s="3" t="s">
        <v>259</v>
      </c>
      <c r="F144" s="41">
        <v>40.0</v>
      </c>
    </row>
    <row r="145">
      <c r="A145" s="39">
        <v>46146.828107187495</v>
      </c>
      <c r="B145" s="3" t="s">
        <v>1378</v>
      </c>
      <c r="C145" s="3" t="s">
        <v>860</v>
      </c>
      <c r="E145" s="3" t="s">
        <v>861</v>
      </c>
      <c r="F145" s="41">
        <v>40.0</v>
      </c>
    </row>
    <row r="146">
      <c r="A146" s="39">
        <v>46147.0920609375</v>
      </c>
      <c r="B146" s="3" t="s">
        <v>1379</v>
      </c>
      <c r="C146" s="3" t="s">
        <v>863</v>
      </c>
      <c r="E146" s="3" t="s">
        <v>864</v>
      </c>
      <c r="F146" s="41">
        <v>26.0</v>
      </c>
    </row>
    <row r="147">
      <c r="A147" s="39">
        <v>46147.81254396991</v>
      </c>
      <c r="B147" s="3" t="s">
        <v>1380</v>
      </c>
      <c r="C147" s="3" t="s">
        <v>866</v>
      </c>
      <c r="E147" s="3" t="s">
        <v>867</v>
      </c>
      <c r="F147" s="41">
        <v>20.0</v>
      </c>
    </row>
    <row r="148">
      <c r="A148" s="39">
        <v>46149.154936782405</v>
      </c>
      <c r="B148" s="3" t="s">
        <v>1381</v>
      </c>
      <c r="C148" s="3" t="s">
        <v>869</v>
      </c>
      <c r="E148" s="3" t="s">
        <v>870</v>
      </c>
      <c r="F148" s="41">
        <v>68.0</v>
      </c>
    </row>
    <row r="149">
      <c r="A149" s="39">
        <v>46150.40034582176</v>
      </c>
      <c r="B149" s="3" t="s">
        <v>1382</v>
      </c>
      <c r="C149" s="3" t="s">
        <v>676</v>
      </c>
      <c r="E149" s="3" t="s">
        <v>26</v>
      </c>
      <c r="F149" s="41">
        <v>58.0</v>
      </c>
    </row>
    <row r="150">
      <c r="A150" s="39">
        <v>46150.883910625</v>
      </c>
      <c r="B150" s="3" t="s">
        <v>1383</v>
      </c>
      <c r="C150" s="3" t="s">
        <v>873</v>
      </c>
      <c r="E150" s="3" t="s">
        <v>874</v>
      </c>
      <c r="F150" s="41">
        <v>62.0</v>
      </c>
    </row>
    <row r="151">
      <c r="A151" s="39">
        <v>46153.94031590278</v>
      </c>
      <c r="B151" s="3" t="s">
        <v>1384</v>
      </c>
      <c r="C151" s="3" t="s">
        <v>1385</v>
      </c>
      <c r="E151" s="3" t="s">
        <v>877</v>
      </c>
      <c r="F151" s="41">
        <v>20.0</v>
      </c>
    </row>
    <row r="152">
      <c r="A152" s="39">
        <v>46155.53668988426</v>
      </c>
      <c r="B152" s="3" t="s">
        <v>1386</v>
      </c>
      <c r="C152" s="3" t="s">
        <v>25</v>
      </c>
      <c r="E152" s="3" t="s">
        <v>26</v>
      </c>
      <c r="F152" s="41">
        <v>54.0</v>
      </c>
    </row>
    <row r="153">
      <c r="A153" s="39">
        <v>46155.60475753472</v>
      </c>
      <c r="B153" s="3" t="s">
        <v>1387</v>
      </c>
      <c r="C153" s="3" t="s">
        <v>43</v>
      </c>
      <c r="E153" s="3" t="s">
        <v>44</v>
      </c>
      <c r="F153" s="41">
        <v>46.0</v>
      </c>
    </row>
    <row r="154">
      <c r="A154" s="39">
        <v>46157.682557210646</v>
      </c>
      <c r="B154" s="3" t="s">
        <v>1388</v>
      </c>
      <c r="C154" s="3" t="s">
        <v>881</v>
      </c>
      <c r="E154" s="3" t="s">
        <v>718</v>
      </c>
      <c r="F154" s="41">
        <v>70.0</v>
      </c>
    </row>
    <row r="155">
      <c r="A155" s="39">
        <v>46161.959516574076</v>
      </c>
      <c r="B155" s="3" t="s">
        <v>1389</v>
      </c>
      <c r="C155" s="3" t="s">
        <v>883</v>
      </c>
      <c r="E155" s="3" t="s">
        <v>884</v>
      </c>
      <c r="F155" s="41">
        <v>56.0</v>
      </c>
    </row>
    <row r="156">
      <c r="A156" s="39">
        <v>46163.05842991898</v>
      </c>
      <c r="B156" s="3" t="s">
        <v>1390</v>
      </c>
      <c r="C156" s="3" t="s">
        <v>484</v>
      </c>
      <c r="E156" s="3" t="s">
        <v>297</v>
      </c>
      <c r="F156" s="41">
        <v>76.0</v>
      </c>
    </row>
    <row r="157">
      <c r="A157" s="39">
        <v>46165.63925099537</v>
      </c>
      <c r="B157" s="3" t="s">
        <v>1392</v>
      </c>
      <c r="C157" s="3" t="s">
        <v>888</v>
      </c>
      <c r="E157" s="3" t="s">
        <v>890</v>
      </c>
      <c r="F157" s="41">
        <v>20.0</v>
      </c>
    </row>
    <row r="158">
      <c r="A158" s="39">
        <v>46167.309961238425</v>
      </c>
      <c r="B158" s="3" t="s">
        <v>1393</v>
      </c>
      <c r="C158" s="3" t="s">
        <v>888</v>
      </c>
      <c r="E158" s="3" t="s">
        <v>890</v>
      </c>
      <c r="F158" s="41">
        <v>36.0</v>
      </c>
    </row>
    <row r="159">
      <c r="A159" s="39">
        <v>46169.51207960648</v>
      </c>
      <c r="B159" s="3" t="s">
        <v>1395</v>
      </c>
      <c r="C159" s="3" t="s">
        <v>894</v>
      </c>
      <c r="E159" s="3" t="s">
        <v>895</v>
      </c>
      <c r="F159" s="41">
        <v>44.0</v>
      </c>
    </row>
    <row r="160">
      <c r="A160" s="39">
        <v>46170.21348409722</v>
      </c>
      <c r="B160" s="3" t="s">
        <v>1396</v>
      </c>
      <c r="C160" s="3" t="s">
        <v>897</v>
      </c>
      <c r="E160" s="3" t="s">
        <v>898</v>
      </c>
      <c r="F160" s="41">
        <v>34.0</v>
      </c>
    </row>
    <row r="161">
      <c r="A161" s="39">
        <v>46170.64841255787</v>
      </c>
      <c r="B161" s="3" t="s">
        <v>1398</v>
      </c>
      <c r="C161" s="3" t="s">
        <v>888</v>
      </c>
      <c r="E161" s="3" t="s">
        <v>890</v>
      </c>
      <c r="F161" s="41">
        <v>48.0</v>
      </c>
    </row>
    <row r="162">
      <c r="A162" s="39">
        <v>46178.572415532406</v>
      </c>
      <c r="B162" s="3" t="s">
        <v>1399</v>
      </c>
      <c r="C162" s="3" t="s">
        <v>676</v>
      </c>
      <c r="E162" s="3" t="s">
        <v>26</v>
      </c>
      <c r="F162" s="41">
        <v>62.0</v>
      </c>
    </row>
    <row r="163">
      <c r="A163" s="39">
        <v>46178.63916407408</v>
      </c>
      <c r="B163" s="3" t="s">
        <v>1400</v>
      </c>
      <c r="C163" s="3" t="s">
        <v>43</v>
      </c>
      <c r="E163" s="3" t="s">
        <v>44</v>
      </c>
      <c r="F163" s="41">
        <v>38.0</v>
      </c>
    </row>
    <row r="164">
      <c r="A164" s="39">
        <v>46182.7026596875</v>
      </c>
      <c r="B164" s="3" t="s">
        <v>1401</v>
      </c>
      <c r="C164" s="3" t="s">
        <v>904</v>
      </c>
      <c r="E164" s="3" t="s">
        <v>905</v>
      </c>
      <c r="F164" s="41">
        <v>24.0</v>
      </c>
    </row>
    <row r="165">
      <c r="A165" s="39">
        <v>46183.472224930556</v>
      </c>
      <c r="B165" s="3" t="s">
        <v>1402</v>
      </c>
      <c r="C165" s="3" t="s">
        <v>82</v>
      </c>
      <c r="E165" s="3" t="s">
        <v>907</v>
      </c>
      <c r="F165" s="41">
        <v>22.0</v>
      </c>
    </row>
    <row r="166">
      <c r="A166" s="39">
        <v>46188.42923778935</v>
      </c>
      <c r="B166" s="3" t="s">
        <v>1403</v>
      </c>
      <c r="C166" s="3" t="s">
        <v>888</v>
      </c>
      <c r="E166" s="3" t="s">
        <v>890</v>
      </c>
      <c r="F166" s="41">
        <v>70.0</v>
      </c>
    </row>
    <row r="167">
      <c r="A167" s="39">
        <v>46190.03741907407</v>
      </c>
      <c r="B167" s="3" t="s">
        <v>1404</v>
      </c>
      <c r="C167" s="3" t="s">
        <v>801</v>
      </c>
      <c r="E167" s="3" t="s">
        <v>802</v>
      </c>
      <c r="F167" s="41">
        <v>80.0</v>
      </c>
    </row>
    <row r="168">
      <c r="A168" s="39">
        <v>46193.5250933912</v>
      </c>
      <c r="B168" s="3" t="s">
        <v>1405</v>
      </c>
      <c r="C168" s="3" t="s">
        <v>912</v>
      </c>
      <c r="E168" s="3" t="s">
        <v>913</v>
      </c>
      <c r="F168" s="41">
        <v>18.0</v>
      </c>
    </row>
    <row r="169">
      <c r="A169" s="39">
        <v>46193.57809003472</v>
      </c>
      <c r="B169" s="3" t="s">
        <v>1406</v>
      </c>
      <c r="C169" s="3" t="s">
        <v>676</v>
      </c>
      <c r="E169" s="3" t="s">
        <v>26</v>
      </c>
      <c r="F169" s="41">
        <v>64.0</v>
      </c>
    </row>
    <row r="170">
      <c r="A170" s="39">
        <v>46195.16499063658</v>
      </c>
      <c r="B170" s="3" t="s">
        <v>1407</v>
      </c>
      <c r="C170" s="3" t="s">
        <v>916</v>
      </c>
      <c r="E170" s="3" t="s">
        <v>917</v>
      </c>
      <c r="F170" s="41">
        <v>32.0</v>
      </c>
    </row>
    <row r="171">
      <c r="A171" s="39">
        <v>46195.29493215278</v>
      </c>
      <c r="B171" s="3" t="s">
        <v>1409</v>
      </c>
      <c r="C171" s="3" t="s">
        <v>919</v>
      </c>
      <c r="E171" s="3" t="s">
        <v>920</v>
      </c>
      <c r="F171" s="41">
        <v>24.0</v>
      </c>
    </row>
    <row r="172">
      <c r="A172" s="39">
        <v>46196.58233664352</v>
      </c>
      <c r="B172" s="3" t="s">
        <v>1411</v>
      </c>
      <c r="C172" s="3" t="s">
        <v>922</v>
      </c>
      <c r="E172" s="3" t="s">
        <v>923</v>
      </c>
      <c r="F172" s="41">
        <v>40.0</v>
      </c>
    </row>
    <row r="173">
      <c r="A173" s="39">
        <v>46196.776631099536</v>
      </c>
      <c r="B173" s="3" t="s">
        <v>1412</v>
      </c>
      <c r="C173" s="3" t="s">
        <v>1413</v>
      </c>
      <c r="E173" s="3" t="s">
        <v>926</v>
      </c>
      <c r="F173" s="41">
        <v>48.0</v>
      </c>
    </row>
    <row r="174">
      <c r="A174" s="39">
        <v>46198.39991190972</v>
      </c>
      <c r="B174" s="3" t="s">
        <v>1414</v>
      </c>
      <c r="C174" s="3" t="s">
        <v>43</v>
      </c>
      <c r="E174" s="3" t="s">
        <v>681</v>
      </c>
      <c r="F174" s="41">
        <v>94.0</v>
      </c>
    </row>
    <row r="175">
      <c r="A175" s="39">
        <v>46204.56336811343</v>
      </c>
      <c r="B175" s="3" t="s">
        <v>1415</v>
      </c>
      <c r="C175" s="3" t="s">
        <v>929</v>
      </c>
      <c r="E175" s="3" t="s">
        <v>930</v>
      </c>
      <c r="F175" s="41">
        <v>78.0</v>
      </c>
    </row>
    <row r="176">
      <c r="A176" s="39">
        <v>46209.562878807876</v>
      </c>
      <c r="B176" s="3" t="s">
        <v>1417</v>
      </c>
      <c r="C176" s="3" t="s">
        <v>932</v>
      </c>
      <c r="E176" s="3" t="s">
        <v>933</v>
      </c>
      <c r="F176" s="41">
        <v>44.0</v>
      </c>
    </row>
    <row r="177">
      <c r="A177" s="39">
        <v>46216.74773096065</v>
      </c>
      <c r="B177" s="3" t="s">
        <v>1418</v>
      </c>
      <c r="C177" s="3" t="s">
        <v>25</v>
      </c>
      <c r="E177" s="3" t="s">
        <v>936</v>
      </c>
      <c r="F177" s="41">
        <v>68.0</v>
      </c>
    </row>
    <row r="178">
      <c r="A178" s="39">
        <v>46221.9372296875</v>
      </c>
      <c r="B178" s="3" t="s">
        <v>1419</v>
      </c>
      <c r="C178" s="3" t="s">
        <v>938</v>
      </c>
      <c r="E178" s="3" t="s">
        <v>940</v>
      </c>
      <c r="F178" s="41">
        <v>58.0</v>
      </c>
    </row>
    <row r="179">
      <c r="A179" s="39">
        <v>46225.77200621528</v>
      </c>
      <c r="B179" s="3" t="s">
        <v>1420</v>
      </c>
      <c r="C179" s="3" t="s">
        <v>942</v>
      </c>
      <c r="E179" s="3" t="s">
        <v>943</v>
      </c>
      <c r="F179" s="41">
        <v>18.0</v>
      </c>
    </row>
    <row r="180">
      <c r="A180" s="42"/>
    </row>
    <row r="181">
      <c r="A181" s="42"/>
    </row>
    <row r="182">
      <c r="A182" s="42"/>
    </row>
    <row r="183">
      <c r="A183" s="42"/>
    </row>
    <row r="184">
      <c r="A184" s="42"/>
    </row>
    <row r="185">
      <c r="A185" s="42"/>
    </row>
    <row r="186">
      <c r="A186" s="42"/>
    </row>
    <row r="187">
      <c r="A187" s="42"/>
    </row>
    <row r="188">
      <c r="A188" s="42"/>
    </row>
    <row r="189">
      <c r="A189" s="42"/>
    </row>
    <row r="190">
      <c r="A190" s="42"/>
    </row>
    <row r="191">
      <c r="A191" s="42"/>
    </row>
    <row r="192">
      <c r="A192" s="42"/>
    </row>
    <row r="193">
      <c r="A193" s="42"/>
    </row>
    <row r="194">
      <c r="A194" s="42"/>
    </row>
    <row r="195">
      <c r="A195" s="42"/>
    </row>
    <row r="196">
      <c r="A196" s="42"/>
    </row>
    <row r="197">
      <c r="A197" s="42"/>
    </row>
    <row r="198">
      <c r="A198" s="42"/>
    </row>
    <row r="199">
      <c r="A199" s="42"/>
    </row>
    <row r="200">
      <c r="A200" s="42"/>
    </row>
    <row r="201">
      <c r="A201" s="42"/>
    </row>
    <row r="202">
      <c r="A202" s="42"/>
    </row>
    <row r="203">
      <c r="A203" s="42"/>
    </row>
    <row r="204">
      <c r="A204" s="42"/>
    </row>
    <row r="205">
      <c r="A205" s="42"/>
    </row>
    <row r="206">
      <c r="A206" s="42"/>
    </row>
    <row r="207">
      <c r="A207" s="42"/>
    </row>
    <row r="208">
      <c r="A208" s="42"/>
    </row>
    <row r="209">
      <c r="A209" s="42"/>
    </row>
    <row r="210">
      <c r="A210" s="42"/>
    </row>
    <row r="211">
      <c r="A211" s="42"/>
    </row>
    <row r="212">
      <c r="A212" s="42"/>
    </row>
    <row r="213">
      <c r="A213" s="42"/>
    </row>
    <row r="214">
      <c r="A214" s="42"/>
    </row>
    <row r="215">
      <c r="A215" s="42"/>
    </row>
    <row r="216">
      <c r="A216" s="42"/>
    </row>
    <row r="217">
      <c r="A217" s="42"/>
    </row>
    <row r="218">
      <c r="A218" s="42"/>
    </row>
    <row r="219">
      <c r="A219" s="42"/>
    </row>
    <row r="220">
      <c r="A220" s="42"/>
    </row>
    <row r="221">
      <c r="A221" s="42"/>
    </row>
    <row r="222">
      <c r="A222" s="42"/>
    </row>
    <row r="223">
      <c r="A223" s="42"/>
    </row>
    <row r="224">
      <c r="A224" s="42"/>
    </row>
    <row r="225">
      <c r="A225" s="42"/>
    </row>
    <row r="226">
      <c r="A226" s="42"/>
    </row>
    <row r="227">
      <c r="A227" s="42"/>
    </row>
    <row r="228">
      <c r="A228" s="42"/>
    </row>
    <row r="229">
      <c r="A229" s="42"/>
    </row>
    <row r="230">
      <c r="A230" s="42"/>
    </row>
    <row r="231">
      <c r="A231" s="42"/>
    </row>
    <row r="232">
      <c r="A232" s="42"/>
    </row>
    <row r="233">
      <c r="A233" s="42"/>
    </row>
    <row r="234">
      <c r="A234" s="42"/>
    </row>
    <row r="235">
      <c r="A235" s="42"/>
    </row>
    <row r="236">
      <c r="A236" s="42"/>
    </row>
    <row r="237">
      <c r="A237" s="42"/>
    </row>
    <row r="238">
      <c r="A238" s="42"/>
    </row>
    <row r="239">
      <c r="A239" s="42"/>
    </row>
    <row r="240">
      <c r="A240" s="42"/>
    </row>
    <row r="241">
      <c r="A241" s="42"/>
    </row>
    <row r="242">
      <c r="A242" s="42"/>
    </row>
    <row r="243">
      <c r="A243" s="42"/>
    </row>
    <row r="244">
      <c r="A244" s="42"/>
    </row>
    <row r="245">
      <c r="A245" s="42"/>
    </row>
    <row r="246">
      <c r="A246" s="42"/>
    </row>
    <row r="247">
      <c r="A247" s="42"/>
    </row>
    <row r="248">
      <c r="A248" s="42"/>
    </row>
    <row r="249">
      <c r="A249" s="42"/>
    </row>
    <row r="250">
      <c r="A250" s="42"/>
    </row>
    <row r="251">
      <c r="A251" s="42"/>
    </row>
    <row r="252">
      <c r="A252" s="42"/>
    </row>
    <row r="253">
      <c r="A253" s="42"/>
    </row>
    <row r="254">
      <c r="A254" s="42"/>
    </row>
    <row r="255">
      <c r="A255" s="42"/>
    </row>
    <row r="256">
      <c r="A256" s="42"/>
    </row>
    <row r="257">
      <c r="A257" s="42"/>
    </row>
    <row r="258">
      <c r="A258" s="42"/>
    </row>
    <row r="259">
      <c r="A259" s="42"/>
    </row>
    <row r="260">
      <c r="A260" s="42"/>
    </row>
    <row r="261">
      <c r="A261" s="42"/>
    </row>
    <row r="262">
      <c r="A262" s="42"/>
    </row>
    <row r="263">
      <c r="A263" s="42"/>
    </row>
    <row r="264">
      <c r="A264" s="42"/>
    </row>
    <row r="265">
      <c r="A265" s="42"/>
    </row>
    <row r="266">
      <c r="A266" s="42"/>
    </row>
    <row r="267">
      <c r="A267" s="42"/>
    </row>
    <row r="268">
      <c r="A268" s="42"/>
    </row>
    <row r="269">
      <c r="A269" s="42"/>
    </row>
    <row r="270">
      <c r="A270" s="42"/>
    </row>
    <row r="271">
      <c r="A271" s="42"/>
    </row>
    <row r="272">
      <c r="A272" s="42"/>
    </row>
    <row r="273">
      <c r="A273" s="42"/>
    </row>
    <row r="274">
      <c r="A274" s="42"/>
    </row>
    <row r="275">
      <c r="A275" s="42"/>
    </row>
    <row r="276">
      <c r="A276" s="42"/>
    </row>
    <row r="277">
      <c r="A277" s="42"/>
    </row>
    <row r="278">
      <c r="A278" s="42"/>
    </row>
    <row r="279">
      <c r="A279" s="42"/>
    </row>
    <row r="280">
      <c r="A280" s="42"/>
    </row>
    <row r="281">
      <c r="A281" s="42"/>
    </row>
    <row r="282">
      <c r="A282" s="42"/>
    </row>
    <row r="283">
      <c r="A283" s="42"/>
    </row>
    <row r="284">
      <c r="A284" s="42"/>
    </row>
    <row r="285">
      <c r="A285" s="42"/>
    </row>
    <row r="286">
      <c r="A286" s="42"/>
    </row>
    <row r="287">
      <c r="A287" s="42"/>
    </row>
    <row r="288">
      <c r="A288" s="42"/>
    </row>
    <row r="289">
      <c r="A289" s="42"/>
    </row>
    <row r="290">
      <c r="A290" s="42"/>
    </row>
    <row r="291">
      <c r="A291" s="42"/>
    </row>
    <row r="292">
      <c r="A292" s="42"/>
    </row>
    <row r="293">
      <c r="A293" s="42"/>
    </row>
    <row r="294">
      <c r="A294" s="42"/>
    </row>
    <row r="295">
      <c r="A295" s="42"/>
    </row>
    <row r="296">
      <c r="A296" s="42"/>
    </row>
    <row r="297">
      <c r="A297" s="42"/>
    </row>
    <row r="298">
      <c r="A298" s="42"/>
    </row>
    <row r="299">
      <c r="A299" s="42"/>
    </row>
    <row r="300">
      <c r="A300" s="42"/>
    </row>
    <row r="301">
      <c r="A301" s="42"/>
    </row>
    <row r="302">
      <c r="A302" s="42"/>
    </row>
    <row r="303">
      <c r="A303" s="42"/>
    </row>
    <row r="304">
      <c r="A304" s="42"/>
    </row>
    <row r="305">
      <c r="A305" s="42"/>
    </row>
    <row r="306">
      <c r="A306" s="42"/>
    </row>
    <row r="307">
      <c r="A307" s="42"/>
    </row>
    <row r="308">
      <c r="A308" s="42"/>
    </row>
    <row r="309">
      <c r="A309" s="42"/>
    </row>
    <row r="310">
      <c r="A310" s="42"/>
    </row>
    <row r="311">
      <c r="A311" s="42"/>
    </row>
    <row r="312">
      <c r="A312" s="42"/>
    </row>
    <row r="313">
      <c r="A313" s="42"/>
    </row>
    <row r="314">
      <c r="A314" s="42"/>
    </row>
    <row r="315">
      <c r="A315" s="42"/>
    </row>
    <row r="316">
      <c r="A316" s="42"/>
    </row>
    <row r="317">
      <c r="A317" s="42"/>
    </row>
    <row r="318">
      <c r="A318" s="42"/>
    </row>
    <row r="319">
      <c r="A319" s="42"/>
    </row>
    <row r="320">
      <c r="A320" s="42"/>
    </row>
    <row r="321">
      <c r="A321" s="42"/>
    </row>
    <row r="322">
      <c r="A322" s="42"/>
    </row>
    <row r="323">
      <c r="A323" s="42"/>
    </row>
    <row r="324">
      <c r="A324" s="42"/>
    </row>
    <row r="325">
      <c r="A325" s="42"/>
    </row>
    <row r="326">
      <c r="A326" s="42"/>
    </row>
    <row r="327">
      <c r="A327" s="42"/>
    </row>
    <row r="328">
      <c r="A328" s="42"/>
    </row>
    <row r="329">
      <c r="A329" s="42"/>
    </row>
    <row r="330">
      <c r="A330" s="42"/>
    </row>
    <row r="331">
      <c r="A331" s="42"/>
    </row>
    <row r="332">
      <c r="A332" s="42"/>
    </row>
    <row r="333">
      <c r="A333" s="42"/>
    </row>
    <row r="334">
      <c r="A334" s="42"/>
    </row>
    <row r="335">
      <c r="A335" s="42"/>
    </row>
    <row r="336">
      <c r="A336" s="42"/>
    </row>
    <row r="337">
      <c r="A337" s="42"/>
    </row>
    <row r="338">
      <c r="A338" s="42"/>
    </row>
    <row r="339">
      <c r="A339" s="42"/>
    </row>
    <row r="340">
      <c r="A340" s="42"/>
    </row>
    <row r="341">
      <c r="A341" s="42"/>
    </row>
    <row r="342">
      <c r="A342" s="42"/>
    </row>
    <row r="343">
      <c r="A343" s="42"/>
    </row>
    <row r="344">
      <c r="A344" s="42"/>
    </row>
    <row r="345">
      <c r="A345" s="42"/>
    </row>
    <row r="346">
      <c r="A346" s="42"/>
    </row>
    <row r="347">
      <c r="A347" s="42"/>
    </row>
    <row r="348">
      <c r="A348" s="42"/>
    </row>
    <row r="349">
      <c r="A349" s="42"/>
    </row>
    <row r="350">
      <c r="A350" s="42"/>
    </row>
    <row r="351">
      <c r="A351" s="42"/>
    </row>
    <row r="352">
      <c r="A352" s="42"/>
    </row>
    <row r="353">
      <c r="A353" s="42"/>
    </row>
    <row r="354">
      <c r="A354" s="42"/>
    </row>
    <row r="355">
      <c r="A355" s="42"/>
    </row>
    <row r="356">
      <c r="A356" s="42"/>
    </row>
    <row r="357">
      <c r="A357" s="42"/>
    </row>
    <row r="358">
      <c r="A358" s="42"/>
    </row>
    <row r="359">
      <c r="A359" s="42"/>
    </row>
    <row r="360">
      <c r="A360" s="42"/>
    </row>
    <row r="361">
      <c r="A361" s="42"/>
    </row>
    <row r="362">
      <c r="A362" s="42"/>
    </row>
    <row r="363">
      <c r="A363" s="42"/>
    </row>
    <row r="364">
      <c r="A364" s="42"/>
    </row>
    <row r="365">
      <c r="A365" s="42"/>
    </row>
    <row r="366">
      <c r="A366" s="42"/>
    </row>
    <row r="367">
      <c r="A367" s="42"/>
    </row>
    <row r="368">
      <c r="A368" s="42"/>
    </row>
    <row r="369">
      <c r="A369" s="42"/>
    </row>
    <row r="370">
      <c r="A370" s="42"/>
    </row>
    <row r="371">
      <c r="A371" s="42"/>
    </row>
    <row r="372">
      <c r="A372" s="42"/>
    </row>
    <row r="373">
      <c r="A373" s="42"/>
    </row>
    <row r="374">
      <c r="A374" s="42"/>
    </row>
    <row r="375">
      <c r="A375" s="42"/>
    </row>
    <row r="376">
      <c r="A376" s="42"/>
    </row>
    <row r="377">
      <c r="A377" s="42"/>
    </row>
    <row r="378">
      <c r="A378" s="42"/>
    </row>
    <row r="379">
      <c r="A379" s="42"/>
    </row>
    <row r="380">
      <c r="A380" s="42"/>
    </row>
    <row r="381">
      <c r="A381" s="42"/>
    </row>
    <row r="382">
      <c r="A382" s="42"/>
    </row>
    <row r="383">
      <c r="A383" s="42"/>
    </row>
    <row r="384">
      <c r="A384" s="42"/>
    </row>
    <row r="385">
      <c r="A385" s="42"/>
    </row>
    <row r="386">
      <c r="A386" s="42"/>
    </row>
    <row r="387">
      <c r="A387" s="42"/>
    </row>
    <row r="388">
      <c r="A388" s="42"/>
    </row>
    <row r="389">
      <c r="A389" s="42"/>
    </row>
    <row r="390">
      <c r="A390" s="42"/>
    </row>
    <row r="391">
      <c r="A391" s="42"/>
    </row>
    <row r="392">
      <c r="A392" s="42"/>
    </row>
    <row r="393">
      <c r="A393" s="42"/>
    </row>
    <row r="394">
      <c r="A394" s="42"/>
    </row>
    <row r="395">
      <c r="A395" s="42"/>
    </row>
    <row r="396">
      <c r="A396" s="42"/>
    </row>
    <row r="397">
      <c r="A397" s="42"/>
    </row>
    <row r="398">
      <c r="A398" s="42"/>
    </row>
    <row r="399">
      <c r="A399" s="42"/>
    </row>
    <row r="400">
      <c r="A400" s="42"/>
    </row>
    <row r="401">
      <c r="A401" s="42"/>
    </row>
    <row r="402">
      <c r="A402" s="42"/>
    </row>
    <row r="403">
      <c r="A403" s="42"/>
    </row>
    <row r="404">
      <c r="A404" s="42"/>
    </row>
    <row r="405">
      <c r="A405" s="42"/>
    </row>
    <row r="406">
      <c r="A406" s="42"/>
    </row>
    <row r="407">
      <c r="A407" s="42"/>
    </row>
    <row r="408">
      <c r="A408" s="42"/>
    </row>
    <row r="409">
      <c r="A409" s="42"/>
    </row>
    <row r="410">
      <c r="A410" s="42"/>
    </row>
    <row r="411">
      <c r="A411" s="42"/>
    </row>
    <row r="412">
      <c r="A412" s="42"/>
    </row>
    <row r="413">
      <c r="A413" s="42"/>
    </row>
    <row r="414">
      <c r="A414" s="42"/>
    </row>
    <row r="415">
      <c r="A415" s="42"/>
    </row>
    <row r="416">
      <c r="A416" s="42"/>
    </row>
    <row r="417">
      <c r="A417" s="42"/>
    </row>
    <row r="418">
      <c r="A418" s="42"/>
    </row>
    <row r="419">
      <c r="A419" s="42"/>
    </row>
    <row r="420">
      <c r="A420" s="42"/>
    </row>
    <row r="421">
      <c r="A421" s="42"/>
    </row>
    <row r="422">
      <c r="A422" s="42"/>
    </row>
    <row r="423">
      <c r="A423" s="42"/>
    </row>
    <row r="424">
      <c r="A424" s="42"/>
    </row>
    <row r="425">
      <c r="A425" s="42"/>
    </row>
    <row r="426">
      <c r="A426" s="42"/>
    </row>
    <row r="427">
      <c r="A427" s="42"/>
    </row>
    <row r="428">
      <c r="A428" s="42"/>
    </row>
    <row r="429">
      <c r="A429" s="42"/>
    </row>
    <row r="430">
      <c r="A430" s="42"/>
    </row>
    <row r="431">
      <c r="A431" s="42"/>
    </row>
    <row r="432">
      <c r="A432" s="42"/>
    </row>
    <row r="433">
      <c r="A433" s="42"/>
    </row>
    <row r="434">
      <c r="A434" s="42"/>
    </row>
    <row r="435">
      <c r="A435" s="42"/>
    </row>
    <row r="436">
      <c r="A436" s="42"/>
    </row>
    <row r="437">
      <c r="A437" s="42"/>
    </row>
    <row r="438">
      <c r="A438" s="42"/>
    </row>
    <row r="439">
      <c r="A439" s="42"/>
    </row>
    <row r="440">
      <c r="A440" s="42"/>
    </row>
    <row r="441">
      <c r="A441" s="42"/>
    </row>
    <row r="442">
      <c r="A442" s="42"/>
    </row>
    <row r="443">
      <c r="A443" s="42"/>
    </row>
    <row r="444">
      <c r="A444" s="42"/>
    </row>
    <row r="445">
      <c r="A445" s="42"/>
    </row>
    <row r="446">
      <c r="A446" s="42"/>
    </row>
    <row r="447">
      <c r="A447" s="42"/>
    </row>
    <row r="448">
      <c r="A448" s="42"/>
    </row>
    <row r="449">
      <c r="A449" s="42"/>
    </row>
    <row r="450">
      <c r="A450" s="42"/>
    </row>
    <row r="451">
      <c r="A451" s="42"/>
    </row>
    <row r="452">
      <c r="A452" s="42"/>
    </row>
    <row r="453">
      <c r="A453" s="42"/>
    </row>
    <row r="454">
      <c r="A454" s="42"/>
    </row>
    <row r="455">
      <c r="A455" s="42"/>
    </row>
    <row r="456">
      <c r="A456" s="42"/>
    </row>
    <row r="457">
      <c r="A457" s="42"/>
    </row>
    <row r="458">
      <c r="A458" s="42"/>
    </row>
    <row r="459">
      <c r="A459" s="42"/>
    </row>
    <row r="460">
      <c r="A460" s="42"/>
    </row>
    <row r="461">
      <c r="A461" s="42"/>
    </row>
    <row r="462">
      <c r="A462" s="42"/>
    </row>
    <row r="463">
      <c r="A463" s="42"/>
    </row>
    <row r="464">
      <c r="A464" s="42"/>
    </row>
    <row r="465">
      <c r="A465" s="42"/>
    </row>
    <row r="466">
      <c r="A466" s="42"/>
    </row>
    <row r="467">
      <c r="A467" s="42"/>
    </row>
    <row r="468">
      <c r="A468" s="42"/>
    </row>
    <row r="469">
      <c r="A469" s="42"/>
    </row>
    <row r="470">
      <c r="A470" s="42"/>
    </row>
    <row r="471">
      <c r="A471" s="42"/>
    </row>
    <row r="472">
      <c r="A472" s="42"/>
    </row>
    <row r="473">
      <c r="A473" s="42"/>
    </row>
    <row r="474">
      <c r="A474" s="42"/>
    </row>
    <row r="475">
      <c r="A475" s="42"/>
    </row>
    <row r="476">
      <c r="A476" s="42"/>
    </row>
    <row r="477">
      <c r="A477" s="42"/>
    </row>
    <row r="478">
      <c r="A478" s="42"/>
    </row>
    <row r="479">
      <c r="A479" s="42"/>
    </row>
    <row r="480">
      <c r="A480" s="42"/>
    </row>
    <row r="481">
      <c r="A481" s="42"/>
    </row>
    <row r="482">
      <c r="A482" s="42"/>
    </row>
    <row r="483">
      <c r="A483" s="42"/>
    </row>
    <row r="484">
      <c r="A484" s="42"/>
    </row>
    <row r="485">
      <c r="A485" s="42"/>
    </row>
    <row r="486">
      <c r="A486" s="42"/>
    </row>
    <row r="487">
      <c r="A487" s="42"/>
    </row>
    <row r="488">
      <c r="A488" s="42"/>
    </row>
    <row r="489">
      <c r="A489" s="42"/>
    </row>
    <row r="490">
      <c r="A490" s="42"/>
    </row>
    <row r="491">
      <c r="A491" s="42"/>
    </row>
    <row r="492">
      <c r="A492" s="42"/>
    </row>
    <row r="493">
      <c r="A493" s="42"/>
    </row>
    <row r="494">
      <c r="A494" s="42"/>
    </row>
    <row r="495">
      <c r="A495" s="42"/>
    </row>
    <row r="496">
      <c r="A496" s="42"/>
    </row>
    <row r="497">
      <c r="A497" s="42"/>
    </row>
    <row r="498">
      <c r="A498" s="42"/>
    </row>
    <row r="499">
      <c r="A499" s="42"/>
    </row>
    <row r="500">
      <c r="A500" s="42"/>
    </row>
    <row r="501">
      <c r="A501" s="42"/>
    </row>
    <row r="502">
      <c r="A502" s="42"/>
    </row>
    <row r="503">
      <c r="A503" s="42"/>
    </row>
    <row r="504">
      <c r="A504" s="42"/>
    </row>
    <row r="505">
      <c r="A505" s="42"/>
    </row>
    <row r="506">
      <c r="A506" s="42"/>
    </row>
    <row r="507">
      <c r="A507" s="42"/>
    </row>
    <row r="508">
      <c r="A508" s="42"/>
    </row>
    <row r="509">
      <c r="A509" s="42"/>
    </row>
    <row r="510">
      <c r="A510" s="42"/>
    </row>
    <row r="511">
      <c r="A511" s="42"/>
    </row>
    <row r="512">
      <c r="A512" s="42"/>
    </row>
    <row r="513">
      <c r="A513" s="42"/>
    </row>
    <row r="514">
      <c r="A514" s="42"/>
    </row>
    <row r="515">
      <c r="A515" s="42"/>
    </row>
    <row r="516">
      <c r="A516" s="42"/>
    </row>
    <row r="517">
      <c r="A517" s="42"/>
    </row>
    <row r="518">
      <c r="A518" s="42"/>
    </row>
    <row r="519">
      <c r="A519" s="42"/>
    </row>
    <row r="520">
      <c r="A520" s="42"/>
    </row>
    <row r="521">
      <c r="A521" s="42"/>
    </row>
    <row r="522">
      <c r="A522" s="42"/>
    </row>
    <row r="523">
      <c r="A523" s="42"/>
    </row>
    <row r="524">
      <c r="A524" s="42"/>
    </row>
    <row r="525">
      <c r="A525" s="42"/>
    </row>
    <row r="526">
      <c r="A526" s="42"/>
    </row>
    <row r="527">
      <c r="A527" s="42"/>
    </row>
    <row r="528">
      <c r="A528" s="42"/>
    </row>
    <row r="529">
      <c r="A529" s="42"/>
    </row>
    <row r="530">
      <c r="A530" s="42"/>
    </row>
    <row r="531">
      <c r="A531" s="42"/>
    </row>
    <row r="532">
      <c r="A532" s="42"/>
    </row>
    <row r="533">
      <c r="A533" s="42"/>
    </row>
    <row r="534">
      <c r="A534" s="42"/>
    </row>
    <row r="535">
      <c r="A535" s="42"/>
    </row>
    <row r="536">
      <c r="A536" s="42"/>
    </row>
    <row r="537">
      <c r="A537" s="42"/>
    </row>
    <row r="538">
      <c r="A538" s="42"/>
    </row>
    <row r="539">
      <c r="A539" s="42"/>
    </row>
    <row r="540">
      <c r="A540" s="42"/>
    </row>
    <row r="541">
      <c r="A541" s="42"/>
    </row>
    <row r="542">
      <c r="A542" s="42"/>
    </row>
    <row r="543">
      <c r="A543" s="42"/>
    </row>
    <row r="544">
      <c r="A544" s="42"/>
    </row>
    <row r="545">
      <c r="A545" s="42"/>
    </row>
    <row r="546">
      <c r="A546" s="42"/>
    </row>
    <row r="547">
      <c r="A547" s="42"/>
    </row>
    <row r="548">
      <c r="A548" s="42"/>
    </row>
    <row r="549">
      <c r="A549" s="42"/>
    </row>
    <row r="550">
      <c r="A550" s="42"/>
    </row>
    <row r="551">
      <c r="A551" s="42"/>
    </row>
    <row r="552">
      <c r="A552" s="42"/>
    </row>
    <row r="553">
      <c r="A553" s="42"/>
    </row>
    <row r="554">
      <c r="A554" s="42"/>
    </row>
    <row r="555">
      <c r="A555" s="42"/>
    </row>
    <row r="556">
      <c r="A556" s="42"/>
    </row>
    <row r="557">
      <c r="A557" s="42"/>
    </row>
    <row r="558">
      <c r="A558" s="42"/>
    </row>
    <row r="559">
      <c r="A559" s="42"/>
    </row>
    <row r="560">
      <c r="A560" s="42"/>
    </row>
    <row r="561">
      <c r="A561" s="42"/>
    </row>
    <row r="562">
      <c r="A562" s="42"/>
    </row>
    <row r="563">
      <c r="A563" s="42"/>
    </row>
    <row r="564">
      <c r="A564" s="42"/>
    </row>
    <row r="565">
      <c r="A565" s="42"/>
    </row>
    <row r="566">
      <c r="A566" s="42"/>
    </row>
    <row r="567">
      <c r="A567" s="42"/>
    </row>
    <row r="568">
      <c r="A568" s="42"/>
    </row>
    <row r="569">
      <c r="A569" s="42"/>
    </row>
    <row r="570">
      <c r="A570" s="42"/>
    </row>
    <row r="571">
      <c r="A571" s="42"/>
    </row>
    <row r="572">
      <c r="A572" s="42"/>
    </row>
    <row r="573">
      <c r="A573" s="42"/>
    </row>
    <row r="574">
      <c r="A574" s="42"/>
    </row>
    <row r="575">
      <c r="A575" s="42"/>
    </row>
    <row r="576">
      <c r="A576" s="42"/>
    </row>
    <row r="577">
      <c r="A577" s="42"/>
    </row>
    <row r="578">
      <c r="A578" s="42"/>
    </row>
    <row r="579">
      <c r="A579" s="42"/>
    </row>
    <row r="580">
      <c r="A580" s="42"/>
    </row>
    <row r="581">
      <c r="A581" s="42"/>
    </row>
    <row r="582">
      <c r="A582" s="42"/>
    </row>
    <row r="583">
      <c r="A583" s="42"/>
    </row>
    <row r="584">
      <c r="A584" s="42"/>
    </row>
    <row r="585">
      <c r="A585" s="42"/>
    </row>
    <row r="586">
      <c r="A586" s="42"/>
    </row>
    <row r="587">
      <c r="A587" s="42"/>
    </row>
    <row r="588">
      <c r="A588" s="42"/>
    </row>
    <row r="589">
      <c r="A589" s="42"/>
    </row>
    <row r="590">
      <c r="A590" s="42"/>
    </row>
    <row r="591">
      <c r="A591" s="42"/>
    </row>
    <row r="592">
      <c r="A592" s="42"/>
    </row>
    <row r="593">
      <c r="A593" s="42"/>
    </row>
    <row r="594">
      <c r="A594" s="42"/>
    </row>
    <row r="595">
      <c r="A595" s="42"/>
    </row>
    <row r="596">
      <c r="A596" s="42"/>
    </row>
    <row r="597">
      <c r="A597" s="42"/>
    </row>
    <row r="598">
      <c r="A598" s="42"/>
    </row>
    <row r="599">
      <c r="A599" s="42"/>
    </row>
    <row r="600">
      <c r="A600" s="42"/>
    </row>
    <row r="601">
      <c r="A601" s="42"/>
    </row>
    <row r="602">
      <c r="A602" s="42"/>
    </row>
    <row r="603">
      <c r="A603" s="42"/>
    </row>
    <row r="604">
      <c r="A604" s="42"/>
    </row>
    <row r="605">
      <c r="A605" s="42"/>
    </row>
    <row r="606">
      <c r="A606" s="42"/>
    </row>
    <row r="607">
      <c r="A607" s="42"/>
    </row>
    <row r="608">
      <c r="A608" s="42"/>
    </row>
    <row r="609">
      <c r="A609" s="42"/>
    </row>
    <row r="610">
      <c r="A610" s="42"/>
    </row>
    <row r="611">
      <c r="A611" s="42"/>
    </row>
    <row r="612">
      <c r="A612" s="42"/>
    </row>
    <row r="613">
      <c r="A613" s="42"/>
    </row>
    <row r="614">
      <c r="A614" s="42"/>
    </row>
    <row r="615">
      <c r="A615" s="42"/>
    </row>
    <row r="616">
      <c r="A616" s="42"/>
    </row>
    <row r="617">
      <c r="A617" s="42"/>
    </row>
    <row r="618">
      <c r="A618" s="42"/>
    </row>
    <row r="619">
      <c r="A619" s="42"/>
    </row>
    <row r="620">
      <c r="A620" s="42"/>
    </row>
    <row r="621">
      <c r="A621" s="42"/>
    </row>
    <row r="622">
      <c r="A622" s="42"/>
    </row>
    <row r="623">
      <c r="A623" s="42"/>
    </row>
    <row r="624">
      <c r="A624" s="42"/>
    </row>
    <row r="625">
      <c r="A625" s="42"/>
    </row>
    <row r="626">
      <c r="A626" s="42"/>
    </row>
    <row r="627">
      <c r="A627" s="42"/>
    </row>
    <row r="628">
      <c r="A628" s="42"/>
    </row>
    <row r="629">
      <c r="A629" s="42"/>
    </row>
    <row r="630">
      <c r="A630" s="42"/>
    </row>
    <row r="631">
      <c r="A631" s="42"/>
    </row>
    <row r="632">
      <c r="A632" s="42"/>
    </row>
    <row r="633">
      <c r="A633" s="42"/>
    </row>
    <row r="634">
      <c r="A634" s="42"/>
    </row>
    <row r="635">
      <c r="A635" s="42"/>
    </row>
    <row r="636">
      <c r="A636" s="42"/>
    </row>
    <row r="637">
      <c r="A637" s="42"/>
    </row>
    <row r="638">
      <c r="A638" s="42"/>
    </row>
    <row r="639">
      <c r="A639" s="42"/>
    </row>
    <row r="640">
      <c r="A640" s="42"/>
    </row>
    <row r="641">
      <c r="A641" s="42"/>
    </row>
    <row r="642">
      <c r="A642" s="42"/>
    </row>
    <row r="643">
      <c r="A643" s="42"/>
    </row>
    <row r="644">
      <c r="A644" s="42"/>
    </row>
    <row r="645">
      <c r="A645" s="42"/>
    </row>
    <row r="646">
      <c r="A646" s="42"/>
    </row>
    <row r="647">
      <c r="A647" s="42"/>
    </row>
    <row r="648">
      <c r="A648" s="42"/>
    </row>
    <row r="649">
      <c r="A649" s="42"/>
    </row>
    <row r="650">
      <c r="A650" s="42"/>
    </row>
    <row r="651">
      <c r="A651" s="42"/>
    </row>
    <row r="652">
      <c r="A652" s="42"/>
    </row>
    <row r="653">
      <c r="A653" s="42"/>
    </row>
    <row r="654">
      <c r="A654" s="42"/>
    </row>
    <row r="655">
      <c r="A655" s="42"/>
    </row>
    <row r="656">
      <c r="A656" s="42"/>
    </row>
    <row r="657">
      <c r="A657" s="42"/>
    </row>
    <row r="658">
      <c r="A658" s="42"/>
    </row>
    <row r="659">
      <c r="A659" s="42"/>
    </row>
    <row r="660">
      <c r="A660" s="42"/>
    </row>
    <row r="661">
      <c r="A661" s="42"/>
    </row>
    <row r="662">
      <c r="A662" s="42"/>
    </row>
    <row r="663">
      <c r="A663" s="42"/>
    </row>
    <row r="664">
      <c r="A664" s="42"/>
    </row>
    <row r="665">
      <c r="A665" s="42"/>
    </row>
    <row r="666">
      <c r="A666" s="42"/>
    </row>
    <row r="667">
      <c r="A667" s="42"/>
    </row>
    <row r="668">
      <c r="A668" s="42"/>
    </row>
    <row r="669">
      <c r="A669" s="42"/>
    </row>
    <row r="670">
      <c r="A670" s="42"/>
    </row>
    <row r="671">
      <c r="A671" s="42"/>
    </row>
    <row r="672">
      <c r="A672" s="42"/>
    </row>
    <row r="673">
      <c r="A673" s="42"/>
    </row>
    <row r="674">
      <c r="A674" s="42"/>
    </row>
    <row r="675">
      <c r="A675" s="42"/>
    </row>
    <row r="676">
      <c r="A676" s="42"/>
    </row>
    <row r="677">
      <c r="A677" s="42"/>
    </row>
    <row r="678">
      <c r="A678" s="42"/>
    </row>
    <row r="679">
      <c r="A679" s="42"/>
    </row>
    <row r="680">
      <c r="A680" s="42"/>
    </row>
    <row r="681">
      <c r="A681" s="42"/>
    </row>
    <row r="682">
      <c r="A682" s="42"/>
    </row>
    <row r="683">
      <c r="A683" s="42"/>
    </row>
    <row r="684">
      <c r="A684" s="42"/>
    </row>
    <row r="685">
      <c r="A685" s="42"/>
    </row>
    <row r="686">
      <c r="A686" s="42"/>
    </row>
    <row r="687">
      <c r="A687" s="42"/>
    </row>
    <row r="688">
      <c r="A688" s="42"/>
    </row>
    <row r="689">
      <c r="A689" s="42"/>
    </row>
    <row r="690">
      <c r="A690" s="42"/>
    </row>
    <row r="691">
      <c r="A691" s="42"/>
    </row>
    <row r="692">
      <c r="A692" s="42"/>
    </row>
    <row r="693">
      <c r="A693" s="42"/>
    </row>
    <row r="694">
      <c r="A694" s="42"/>
    </row>
    <row r="695">
      <c r="A695" s="42"/>
    </row>
    <row r="696">
      <c r="A696" s="42"/>
    </row>
    <row r="697">
      <c r="A697" s="42"/>
    </row>
    <row r="698">
      <c r="A698" s="42"/>
    </row>
    <row r="699">
      <c r="A699" s="42"/>
    </row>
    <row r="700">
      <c r="A700" s="42"/>
    </row>
    <row r="701">
      <c r="A701" s="42"/>
    </row>
    <row r="702">
      <c r="A702" s="42"/>
    </row>
    <row r="703">
      <c r="A703" s="42"/>
    </row>
    <row r="704">
      <c r="A704" s="42"/>
    </row>
    <row r="705">
      <c r="A705" s="42"/>
    </row>
    <row r="706">
      <c r="A706" s="42"/>
    </row>
    <row r="707">
      <c r="A707" s="42"/>
    </row>
    <row r="708">
      <c r="A708" s="42"/>
    </row>
    <row r="709">
      <c r="A709" s="42"/>
    </row>
    <row r="710">
      <c r="A710" s="42"/>
    </row>
    <row r="711">
      <c r="A711" s="42"/>
    </row>
    <row r="712">
      <c r="A712" s="42"/>
    </row>
    <row r="713">
      <c r="A713" s="42"/>
    </row>
    <row r="714">
      <c r="A714" s="42"/>
    </row>
    <row r="715">
      <c r="A715" s="42"/>
    </row>
    <row r="716">
      <c r="A716" s="42"/>
    </row>
    <row r="717">
      <c r="A717" s="42"/>
    </row>
    <row r="718">
      <c r="A718" s="42"/>
    </row>
    <row r="719">
      <c r="A719" s="42"/>
    </row>
    <row r="720">
      <c r="A720" s="42"/>
    </row>
    <row r="721">
      <c r="A721" s="42"/>
    </row>
    <row r="722">
      <c r="A722" s="42"/>
    </row>
    <row r="723">
      <c r="A723" s="42"/>
    </row>
    <row r="724">
      <c r="A724" s="42"/>
    </row>
    <row r="725">
      <c r="A725" s="42"/>
    </row>
    <row r="726">
      <c r="A726" s="42"/>
    </row>
    <row r="727">
      <c r="A727" s="42"/>
    </row>
    <row r="728">
      <c r="A728" s="42"/>
    </row>
    <row r="729">
      <c r="A729" s="42"/>
    </row>
    <row r="730">
      <c r="A730" s="42"/>
    </row>
    <row r="731">
      <c r="A731" s="42"/>
    </row>
    <row r="732">
      <c r="A732" s="42"/>
    </row>
    <row r="733">
      <c r="A733" s="42"/>
    </row>
    <row r="734">
      <c r="A734" s="42"/>
    </row>
    <row r="735">
      <c r="A735" s="42"/>
    </row>
    <row r="736">
      <c r="A736" s="42"/>
    </row>
    <row r="737">
      <c r="A737" s="42"/>
    </row>
    <row r="738">
      <c r="A738" s="42"/>
    </row>
    <row r="739">
      <c r="A739" s="42"/>
    </row>
    <row r="740">
      <c r="A740" s="42"/>
    </row>
    <row r="741">
      <c r="A741" s="42"/>
    </row>
    <row r="742">
      <c r="A742" s="42"/>
    </row>
    <row r="743">
      <c r="A743" s="42"/>
    </row>
    <row r="744">
      <c r="A744" s="42"/>
    </row>
    <row r="745">
      <c r="A745" s="42"/>
    </row>
    <row r="746">
      <c r="A746" s="42"/>
    </row>
    <row r="747">
      <c r="A747" s="42"/>
    </row>
    <row r="748">
      <c r="A748" s="42"/>
    </row>
    <row r="749">
      <c r="A749" s="42"/>
    </row>
    <row r="750">
      <c r="A750" s="42"/>
    </row>
    <row r="751">
      <c r="A751" s="42"/>
    </row>
    <row r="752">
      <c r="A752" s="42"/>
    </row>
    <row r="753">
      <c r="A753" s="42"/>
    </row>
    <row r="754">
      <c r="A754" s="42"/>
    </row>
    <row r="755">
      <c r="A755" s="42"/>
    </row>
    <row r="756">
      <c r="A756" s="42"/>
    </row>
    <row r="757">
      <c r="A757" s="42"/>
    </row>
    <row r="758">
      <c r="A758" s="42"/>
    </row>
    <row r="759">
      <c r="A759" s="42"/>
    </row>
    <row r="760">
      <c r="A760" s="42"/>
    </row>
    <row r="761">
      <c r="A761" s="42"/>
    </row>
    <row r="762">
      <c r="A762" s="42"/>
    </row>
    <row r="763">
      <c r="A763" s="42"/>
    </row>
    <row r="764">
      <c r="A764" s="42"/>
    </row>
    <row r="765">
      <c r="A765" s="42"/>
    </row>
    <row r="766">
      <c r="A766" s="42"/>
    </row>
    <row r="767">
      <c r="A767" s="42"/>
    </row>
    <row r="768">
      <c r="A768" s="42"/>
    </row>
    <row r="769">
      <c r="A769" s="42"/>
    </row>
    <row r="770">
      <c r="A770" s="42"/>
    </row>
    <row r="771">
      <c r="A771" s="42"/>
    </row>
    <row r="772">
      <c r="A772" s="42"/>
    </row>
    <row r="773">
      <c r="A773" s="42"/>
    </row>
    <row r="774">
      <c r="A774" s="42"/>
    </row>
    <row r="775">
      <c r="A775" s="42"/>
    </row>
    <row r="776">
      <c r="A776" s="42"/>
    </row>
    <row r="777">
      <c r="A777" s="42"/>
    </row>
    <row r="778">
      <c r="A778" s="42"/>
    </row>
    <row r="779">
      <c r="A779" s="42"/>
    </row>
    <row r="780">
      <c r="A780" s="42"/>
    </row>
    <row r="781">
      <c r="A781" s="42"/>
    </row>
    <row r="782">
      <c r="A782" s="42"/>
    </row>
    <row r="783">
      <c r="A783" s="42"/>
    </row>
    <row r="784">
      <c r="A784" s="42"/>
    </row>
    <row r="785">
      <c r="A785" s="42"/>
    </row>
    <row r="786">
      <c r="A786" s="42"/>
    </row>
    <row r="787">
      <c r="A787" s="42"/>
    </row>
    <row r="788">
      <c r="A788" s="42"/>
    </row>
    <row r="789">
      <c r="A789" s="42"/>
    </row>
    <row r="790">
      <c r="A790" s="42"/>
    </row>
    <row r="791">
      <c r="A791" s="42"/>
    </row>
    <row r="792">
      <c r="A792" s="42"/>
    </row>
    <row r="793">
      <c r="A793" s="42"/>
    </row>
    <row r="794">
      <c r="A794" s="42"/>
    </row>
    <row r="795">
      <c r="A795" s="42"/>
    </row>
    <row r="796">
      <c r="A796" s="42"/>
    </row>
    <row r="797">
      <c r="A797" s="42"/>
    </row>
    <row r="798">
      <c r="A798" s="42"/>
    </row>
    <row r="799">
      <c r="A799" s="42"/>
    </row>
    <row r="800">
      <c r="A800" s="42"/>
    </row>
    <row r="801">
      <c r="A801" s="42"/>
    </row>
    <row r="802">
      <c r="A802" s="42"/>
    </row>
    <row r="803">
      <c r="A803" s="42"/>
    </row>
    <row r="804">
      <c r="A804" s="42"/>
    </row>
    <row r="805">
      <c r="A805" s="42"/>
    </row>
    <row r="806">
      <c r="A806" s="42"/>
    </row>
    <row r="807">
      <c r="A807" s="42"/>
    </row>
    <row r="808">
      <c r="A808" s="42"/>
    </row>
    <row r="809">
      <c r="A809" s="42"/>
    </row>
    <row r="810">
      <c r="A810" s="42"/>
    </row>
    <row r="811">
      <c r="A811" s="42"/>
    </row>
    <row r="812">
      <c r="A812" s="42"/>
    </row>
    <row r="813">
      <c r="A813" s="42"/>
    </row>
    <row r="814">
      <c r="A814" s="42"/>
    </row>
    <row r="815">
      <c r="A815" s="42"/>
    </row>
    <row r="816">
      <c r="A816" s="42"/>
    </row>
    <row r="817">
      <c r="A817" s="42"/>
    </row>
    <row r="818">
      <c r="A818" s="42"/>
    </row>
    <row r="819">
      <c r="A819" s="42"/>
    </row>
    <row r="820">
      <c r="A820" s="42"/>
    </row>
    <row r="821">
      <c r="A821" s="42"/>
    </row>
    <row r="822">
      <c r="A822" s="42"/>
    </row>
    <row r="823">
      <c r="A823" s="42"/>
    </row>
    <row r="824">
      <c r="A824" s="42"/>
    </row>
    <row r="825">
      <c r="A825" s="42"/>
    </row>
    <row r="826">
      <c r="A826" s="42"/>
    </row>
    <row r="827">
      <c r="A827" s="42"/>
    </row>
    <row r="828">
      <c r="A828" s="42"/>
    </row>
    <row r="829">
      <c r="A829" s="42"/>
    </row>
    <row r="830">
      <c r="A830" s="42"/>
    </row>
    <row r="831">
      <c r="A831" s="42"/>
    </row>
    <row r="832">
      <c r="A832" s="42"/>
    </row>
    <row r="833">
      <c r="A833" s="42"/>
    </row>
    <row r="834">
      <c r="A834" s="42"/>
    </row>
    <row r="835">
      <c r="A835" s="42"/>
    </row>
    <row r="836">
      <c r="A836" s="42"/>
    </row>
    <row r="837">
      <c r="A837" s="42"/>
    </row>
    <row r="838">
      <c r="A838" s="42"/>
    </row>
    <row r="839">
      <c r="A839" s="42"/>
    </row>
    <row r="840">
      <c r="A840" s="42"/>
    </row>
    <row r="841">
      <c r="A841" s="42"/>
    </row>
    <row r="842">
      <c r="A842" s="42"/>
    </row>
    <row r="843">
      <c r="A843" s="42"/>
    </row>
    <row r="844">
      <c r="A844" s="42"/>
    </row>
    <row r="845">
      <c r="A845" s="42"/>
    </row>
    <row r="846">
      <c r="A846" s="42"/>
    </row>
    <row r="847">
      <c r="A847" s="42"/>
    </row>
    <row r="848">
      <c r="A848" s="42"/>
    </row>
    <row r="849">
      <c r="A849" s="42"/>
    </row>
    <row r="850">
      <c r="A850" s="42"/>
    </row>
    <row r="851">
      <c r="A851" s="42"/>
    </row>
    <row r="852">
      <c r="A852" s="42"/>
    </row>
    <row r="853">
      <c r="A853" s="42"/>
    </row>
    <row r="854">
      <c r="A854" s="42"/>
    </row>
    <row r="855">
      <c r="A855" s="42"/>
    </row>
    <row r="856">
      <c r="A856" s="42"/>
    </row>
    <row r="857">
      <c r="A857" s="42"/>
    </row>
    <row r="858">
      <c r="A858" s="42"/>
    </row>
    <row r="859">
      <c r="A859" s="42"/>
    </row>
    <row r="860">
      <c r="A860" s="42"/>
    </row>
    <row r="861">
      <c r="A861" s="42"/>
    </row>
    <row r="862">
      <c r="A862" s="42"/>
    </row>
    <row r="863">
      <c r="A863" s="42"/>
    </row>
    <row r="864">
      <c r="A864" s="42"/>
    </row>
    <row r="865">
      <c r="A865" s="42"/>
    </row>
    <row r="866">
      <c r="A866" s="42"/>
    </row>
    <row r="867">
      <c r="A867" s="42"/>
    </row>
    <row r="868">
      <c r="A868" s="42"/>
    </row>
    <row r="869">
      <c r="A869" s="42"/>
    </row>
    <row r="870">
      <c r="A870" s="42"/>
    </row>
    <row r="871">
      <c r="A871" s="42"/>
    </row>
    <row r="872">
      <c r="A872" s="42"/>
    </row>
    <row r="873">
      <c r="A873" s="42"/>
    </row>
    <row r="874">
      <c r="A874" s="42"/>
    </row>
    <row r="875">
      <c r="A875" s="42"/>
    </row>
    <row r="876">
      <c r="A876" s="42"/>
    </row>
    <row r="877">
      <c r="A877" s="42"/>
    </row>
    <row r="878">
      <c r="A878" s="42"/>
    </row>
    <row r="879">
      <c r="A879" s="42"/>
    </row>
    <row r="880">
      <c r="A880" s="42"/>
    </row>
    <row r="881">
      <c r="A881" s="42"/>
    </row>
    <row r="882">
      <c r="A882" s="42"/>
    </row>
    <row r="883">
      <c r="A883" s="42"/>
    </row>
    <row r="884">
      <c r="A884" s="42"/>
    </row>
    <row r="885">
      <c r="A885" s="42"/>
    </row>
    <row r="886">
      <c r="A886" s="42"/>
    </row>
    <row r="887">
      <c r="A887" s="42"/>
    </row>
    <row r="888">
      <c r="A888" s="42"/>
    </row>
    <row r="889">
      <c r="A889" s="42"/>
    </row>
    <row r="890">
      <c r="A890" s="42"/>
    </row>
    <row r="891">
      <c r="A891" s="42"/>
    </row>
    <row r="892">
      <c r="A892" s="42"/>
    </row>
    <row r="893">
      <c r="A893" s="42"/>
    </row>
    <row r="894">
      <c r="A894" s="42"/>
    </row>
    <row r="895">
      <c r="A895" s="42"/>
    </row>
    <row r="896">
      <c r="A896" s="42"/>
    </row>
    <row r="897">
      <c r="A897" s="42"/>
    </row>
    <row r="898">
      <c r="A898" s="42"/>
    </row>
    <row r="899">
      <c r="A899" s="42"/>
    </row>
    <row r="900">
      <c r="A900" s="42"/>
    </row>
    <row r="901">
      <c r="A901" s="42"/>
    </row>
    <row r="902">
      <c r="A902" s="42"/>
    </row>
    <row r="903">
      <c r="A903" s="42"/>
    </row>
    <row r="904">
      <c r="A904" s="42"/>
    </row>
    <row r="905">
      <c r="A905" s="42"/>
    </row>
    <row r="906">
      <c r="A906" s="42"/>
    </row>
    <row r="907">
      <c r="A907" s="42"/>
    </row>
    <row r="908">
      <c r="A908" s="42"/>
    </row>
    <row r="909">
      <c r="A909" s="42"/>
    </row>
    <row r="910">
      <c r="A910" s="42"/>
    </row>
    <row r="911">
      <c r="A911" s="42"/>
    </row>
    <row r="912">
      <c r="A912" s="42"/>
    </row>
    <row r="913">
      <c r="A913" s="42"/>
    </row>
    <row r="914">
      <c r="A914" s="42"/>
    </row>
    <row r="915">
      <c r="A915" s="42"/>
    </row>
    <row r="916">
      <c r="A916" s="42"/>
    </row>
    <row r="917">
      <c r="A917" s="42"/>
    </row>
    <row r="918">
      <c r="A918" s="42"/>
    </row>
    <row r="919">
      <c r="A919" s="42"/>
    </row>
    <row r="920">
      <c r="A920" s="42"/>
    </row>
    <row r="921">
      <c r="A921" s="42"/>
    </row>
    <row r="922">
      <c r="A922" s="42"/>
    </row>
    <row r="923">
      <c r="A923" s="42"/>
    </row>
    <row r="924">
      <c r="A924" s="42"/>
    </row>
    <row r="925">
      <c r="A925" s="42"/>
    </row>
    <row r="926">
      <c r="A926" s="42"/>
    </row>
    <row r="927">
      <c r="A927" s="42"/>
    </row>
    <row r="928">
      <c r="A928" s="42"/>
    </row>
    <row r="929">
      <c r="A929" s="42"/>
    </row>
    <row r="930">
      <c r="A930" s="42"/>
    </row>
    <row r="931">
      <c r="A931" s="42"/>
    </row>
    <row r="932">
      <c r="A932" s="42"/>
    </row>
    <row r="933">
      <c r="A933" s="42"/>
    </row>
    <row r="934">
      <c r="A934" s="42"/>
    </row>
    <row r="935">
      <c r="A935" s="42"/>
    </row>
    <row r="936">
      <c r="A936" s="42"/>
    </row>
    <row r="937">
      <c r="A937" s="42"/>
    </row>
    <row r="938">
      <c r="A938" s="42"/>
    </row>
    <row r="939">
      <c r="A939" s="42"/>
    </row>
    <row r="940">
      <c r="A940" s="42"/>
    </row>
    <row r="941">
      <c r="A941" s="42"/>
    </row>
    <row r="942">
      <c r="A942" s="42"/>
    </row>
    <row r="943">
      <c r="A943" s="42"/>
    </row>
    <row r="944">
      <c r="A944" s="42"/>
    </row>
    <row r="945">
      <c r="A945" s="42"/>
    </row>
    <row r="946">
      <c r="A946" s="42"/>
    </row>
    <row r="947">
      <c r="A947" s="42"/>
    </row>
    <row r="948">
      <c r="A948" s="42"/>
    </row>
    <row r="949">
      <c r="A949" s="42"/>
    </row>
    <row r="950">
      <c r="A950" s="42"/>
    </row>
    <row r="951">
      <c r="A951" s="42"/>
    </row>
    <row r="952">
      <c r="A952" s="42"/>
    </row>
    <row r="953">
      <c r="A953" s="42"/>
    </row>
    <row r="954">
      <c r="A954" s="42"/>
    </row>
    <row r="955">
      <c r="A955" s="42"/>
    </row>
    <row r="956">
      <c r="A956" s="42"/>
    </row>
    <row r="957">
      <c r="A957" s="42"/>
    </row>
    <row r="958">
      <c r="A958" s="42"/>
    </row>
    <row r="959">
      <c r="A959" s="42"/>
    </row>
    <row r="960">
      <c r="A960" s="42"/>
    </row>
    <row r="961">
      <c r="A961" s="42"/>
    </row>
    <row r="962">
      <c r="A962" s="42"/>
    </row>
    <row r="963">
      <c r="A963" s="42"/>
    </row>
    <row r="964">
      <c r="A964" s="42"/>
    </row>
    <row r="965">
      <c r="A965" s="42"/>
    </row>
    <row r="966">
      <c r="A966" s="42"/>
    </row>
    <row r="967">
      <c r="A967" s="42"/>
    </row>
    <row r="968">
      <c r="A968" s="4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8" t="s">
        <v>9</v>
      </c>
      <c r="B1" s="8" t="s">
        <v>31</v>
      </c>
      <c r="C1" s="8" t="s">
        <v>34</v>
      </c>
      <c r="D1" s="8" t="s">
        <v>5</v>
      </c>
      <c r="E1" s="11" t="s">
        <v>41</v>
      </c>
      <c r="F1" s="8" t="s">
        <v>47</v>
      </c>
      <c r="G1" s="8" t="s">
        <v>50</v>
      </c>
      <c r="H1" s="8" t="s">
        <v>52</v>
      </c>
      <c r="I1" s="11" t="s">
        <v>54</v>
      </c>
      <c r="J1" s="8" t="s">
        <v>56</v>
      </c>
      <c r="K1" s="8" t="s">
        <v>1626</v>
      </c>
      <c r="L1" s="8" t="s">
        <v>141</v>
      </c>
      <c r="M1" s="8" t="s">
        <v>142</v>
      </c>
    </row>
    <row r="2" ht="22.5" customHeight="1">
      <c r="A2" s="12">
        <v>45901.92733251158</v>
      </c>
      <c r="B2" s="15" t="s">
        <v>441</v>
      </c>
      <c r="C2" s="15" t="s">
        <v>1627</v>
      </c>
      <c r="D2" s="15" t="s">
        <v>562</v>
      </c>
      <c r="E2" s="15" t="s">
        <v>1628</v>
      </c>
      <c r="F2" s="15">
        <v>14.0</v>
      </c>
      <c r="G2" s="15">
        <v>20.0</v>
      </c>
      <c r="H2" s="15">
        <v>42.0</v>
      </c>
      <c r="I2" s="15" t="s">
        <v>160</v>
      </c>
      <c r="J2" s="15">
        <v>49.6</v>
      </c>
      <c r="K2" s="24">
        <f t="shared" ref="K2:K33" si="1">IF(A2="",,LET(bolt_score,F2,co2tt_score,G2,mbt_score,H2,lom_text,I2,rom_score,J2,bolt_tier,IFS(bolt_score&lt;15,0,bolt_score&lt;=19,1,bolt_score&lt;=24,2,bolt_score&lt;=29,3,bolt_score&lt;=34,4,bolt_score&gt;=35,5,TRUE,0),co2tt_tier,IFS(co2tt_score&lt;25,0,co2tt_score&lt;=39,1,co2tt_score&lt;=54,2,co2tt_score&lt;=69,3,co2tt_score&lt;=84,4,co2tt_score&gt;=85,5,TRUE,0),mbt_tier,IFS(mbt_score&lt;25,0,mbt_score&lt;=39,1,mbt_score&lt;=54,2,mbt_score&lt;=69,3,mbt_score&lt;=84,4,mbt_score&gt;=85,5,TRUE,0),rom_tier,IFS(rom_score&lt;60,0,rom_score&lt;=74,1,rom_score&lt;=89,2,rom_score&lt;=104,3,rom_score&lt;=119,4,rom_score&gt;=120,5,TRUE,0),lom_tier,IFS(ISNUMBER(SEARCH("zone 3 only",lom_text)),0,ISNUMBER(SEARCH("zone 3",lom_text))*ISNUMBER(SEARCH("zone 2",lom_text)),1,ISNUMBER(SEARCH("zone 2",lom_text))*NOT(ISNUMBER(SEARCH("zone 1",lom_text)))*NOT(ISNUMBER(SEARCH("zone 3",lom_text))),2,ISNUMBER(SEARCH("zone 1",lom_text))*ISNUMBER(SEARCH("zone 2",lom_text)),3,ISNUMBER(SEARCH("zone 1",lom_text))*ISNUMBER(SEARCH("horizontal",lom_text)),4,ISNUMBER(SEARCH("360",lom_text)),5,TRUE,0),total_weighted_score,(bolt_tier*1)+(co2tt_tier*2)+(mbt_tier*3)+(lom_tier*3)+(rom_tier*1),(total_weighted_score/50)*100))</f>
        <v>24</v>
      </c>
      <c r="L2" s="24" t="str">
        <f t="shared" ref="L2:L33" si="2">IF(K2="",,IFS(K2&gt;=93,"Ultra",K2&gt;=80,"Great",K2&gt;=65,"Good",K2&gt;=50,"Fair",K2&gt;=31,"Poor",K2&gt;=0,"Very Poor"))</f>
        <v>Very Poor</v>
      </c>
      <c r="M2" s="24" t="str">
        <f t="shared" ref="M2:M33" si="3">IF(K2="",,IFS(K2&gt;=93,"Breath Master",K2&gt;=80,"Breathwork-Trained",K2&gt;=65,"Functional Breather",K2&gt;=50,"Breather-in-Training",K2&gt;=31,"Breath Beginner",K2&gt;=0,"Breath-Aware"))</f>
        <v>Breath-Aware</v>
      </c>
    </row>
    <row r="3" ht="22.5" customHeight="1">
      <c r="A3" s="18">
        <v>45901.94412972222</v>
      </c>
      <c r="B3" s="19" t="s">
        <v>573</v>
      </c>
      <c r="C3" s="19" t="s">
        <v>574</v>
      </c>
      <c r="D3" s="19" t="s">
        <v>26</v>
      </c>
      <c r="E3" s="19" t="s">
        <v>1629</v>
      </c>
      <c r="F3" s="19">
        <v>33.0</v>
      </c>
      <c r="G3" s="19">
        <v>43.0</v>
      </c>
      <c r="H3" s="19">
        <v>55.0</v>
      </c>
      <c r="I3" s="19" t="s">
        <v>438</v>
      </c>
      <c r="J3" s="19">
        <v>89.0</v>
      </c>
      <c r="K3" s="22">
        <f t="shared" si="1"/>
        <v>62</v>
      </c>
      <c r="L3" s="22" t="str">
        <f t="shared" si="2"/>
        <v>Fair</v>
      </c>
      <c r="M3" s="22" t="str">
        <f t="shared" si="3"/>
        <v>Breather-in-Training</v>
      </c>
    </row>
    <row r="4" ht="22.5" customHeight="1">
      <c r="A4" s="18">
        <v>45901.95343947917</v>
      </c>
      <c r="B4" s="19" t="s">
        <v>573</v>
      </c>
      <c r="C4" s="19" t="s">
        <v>574</v>
      </c>
      <c r="D4" s="19" t="s">
        <v>26</v>
      </c>
      <c r="E4" s="19" t="s">
        <v>1630</v>
      </c>
      <c r="F4" s="19">
        <v>29.0</v>
      </c>
      <c r="G4" s="19">
        <v>37.0</v>
      </c>
      <c r="H4" s="19">
        <v>64.0</v>
      </c>
      <c r="I4" s="19" t="s">
        <v>101</v>
      </c>
      <c r="J4" s="19">
        <v>99.0</v>
      </c>
      <c r="K4" s="22">
        <f t="shared" si="1"/>
        <v>52</v>
      </c>
      <c r="L4" s="22" t="str">
        <f t="shared" si="2"/>
        <v>Fair</v>
      </c>
      <c r="M4" s="22" t="str">
        <f t="shared" si="3"/>
        <v>Breather-in-Training</v>
      </c>
    </row>
    <row r="5" ht="22.5" customHeight="1">
      <c r="A5" s="18">
        <v>45901.958690775464</v>
      </c>
      <c r="B5" s="19" t="s">
        <v>573</v>
      </c>
      <c r="C5" s="19" t="s">
        <v>574</v>
      </c>
      <c r="D5" s="19" t="s">
        <v>26</v>
      </c>
      <c r="E5" s="19" t="s">
        <v>1631</v>
      </c>
      <c r="F5" s="19">
        <v>33.0</v>
      </c>
      <c r="G5" s="19">
        <v>44.0</v>
      </c>
      <c r="H5" s="19">
        <v>60.0</v>
      </c>
      <c r="I5" s="19" t="s">
        <v>370</v>
      </c>
      <c r="J5" s="19">
        <v>97.0</v>
      </c>
      <c r="K5" s="22">
        <f t="shared" si="1"/>
        <v>70</v>
      </c>
      <c r="L5" s="22" t="str">
        <f t="shared" si="2"/>
        <v>Good</v>
      </c>
      <c r="M5" s="22" t="str">
        <f t="shared" si="3"/>
        <v>Functional Breather</v>
      </c>
    </row>
    <row r="6" ht="22.5" customHeight="1">
      <c r="A6" s="18">
        <v>45901.98042177083</v>
      </c>
      <c r="B6" s="19" t="s">
        <v>573</v>
      </c>
      <c r="C6" s="19" t="s">
        <v>574</v>
      </c>
      <c r="D6" s="19" t="s">
        <v>26</v>
      </c>
      <c r="E6" s="19" t="s">
        <v>1632</v>
      </c>
      <c r="F6" s="19">
        <v>24.0</v>
      </c>
      <c r="G6" s="19">
        <v>39.0</v>
      </c>
      <c r="H6" s="19">
        <v>59.0</v>
      </c>
      <c r="I6" s="19" t="s">
        <v>160</v>
      </c>
      <c r="J6" s="19">
        <v>88.0</v>
      </c>
      <c r="K6" s="22">
        <f t="shared" si="1"/>
        <v>42</v>
      </c>
      <c r="L6" s="22" t="str">
        <f t="shared" si="2"/>
        <v>Poor</v>
      </c>
      <c r="M6" s="22" t="str">
        <f t="shared" si="3"/>
        <v>Breath Beginner</v>
      </c>
    </row>
    <row r="7" ht="22.5" customHeight="1">
      <c r="A7" s="18">
        <v>45901.98843989584</v>
      </c>
      <c r="B7" s="19" t="s">
        <v>226</v>
      </c>
      <c r="C7" s="19" t="s">
        <v>642</v>
      </c>
      <c r="D7" s="19" t="s">
        <v>562</v>
      </c>
      <c r="E7" s="19" t="s">
        <v>1633</v>
      </c>
      <c r="F7" s="19">
        <v>23.0</v>
      </c>
      <c r="G7" s="19">
        <v>35.0</v>
      </c>
      <c r="H7" s="19">
        <v>46.0</v>
      </c>
      <c r="I7" s="19" t="s">
        <v>438</v>
      </c>
      <c r="J7" s="19">
        <v>89.2</v>
      </c>
      <c r="K7" s="22">
        <f t="shared" si="1"/>
        <v>50</v>
      </c>
      <c r="L7" s="22" t="str">
        <f t="shared" si="2"/>
        <v>Fair</v>
      </c>
      <c r="M7" s="22" t="str">
        <f t="shared" si="3"/>
        <v>Breather-in-Training</v>
      </c>
    </row>
    <row r="8" ht="22.5" customHeight="1">
      <c r="A8" s="18">
        <v>45901.99177833334</v>
      </c>
      <c r="B8" s="19" t="s">
        <v>226</v>
      </c>
      <c r="C8" s="19" t="s">
        <v>1634</v>
      </c>
      <c r="D8" s="19" t="s">
        <v>562</v>
      </c>
      <c r="E8" s="19" t="s">
        <v>1635</v>
      </c>
      <c r="F8" s="19">
        <v>24.0</v>
      </c>
      <c r="G8" s="19">
        <v>67.0</v>
      </c>
      <c r="H8" s="19">
        <v>23.0</v>
      </c>
      <c r="I8" s="19" t="s">
        <v>715</v>
      </c>
      <c r="J8" s="19">
        <v>89.0</v>
      </c>
      <c r="K8" s="22">
        <f t="shared" si="1"/>
        <v>26</v>
      </c>
      <c r="L8" s="22" t="str">
        <f t="shared" si="2"/>
        <v>Very Poor</v>
      </c>
      <c r="M8" s="22" t="str">
        <f t="shared" si="3"/>
        <v>Breath-Aware</v>
      </c>
    </row>
    <row r="9" ht="22.5" customHeight="1">
      <c r="A9" s="18">
        <v>45901.99443505787</v>
      </c>
      <c r="B9" s="19" t="s">
        <v>226</v>
      </c>
      <c r="C9" s="19" t="s">
        <v>1636</v>
      </c>
      <c r="D9" s="19" t="s">
        <v>562</v>
      </c>
      <c r="E9" s="19" t="s">
        <v>1109</v>
      </c>
      <c r="F9" s="19">
        <v>24.0</v>
      </c>
      <c r="G9" s="19">
        <v>73.0</v>
      </c>
      <c r="H9" s="19">
        <v>57.0</v>
      </c>
      <c r="I9" s="19" t="s">
        <v>715</v>
      </c>
      <c r="J9" s="19">
        <v>89.0</v>
      </c>
      <c r="K9" s="22">
        <f t="shared" si="1"/>
        <v>48</v>
      </c>
      <c r="L9" s="22" t="str">
        <f t="shared" si="2"/>
        <v>Poor</v>
      </c>
      <c r="M9" s="22" t="str">
        <f t="shared" si="3"/>
        <v>Breath Beginner</v>
      </c>
    </row>
    <row r="10" ht="22.5" customHeight="1">
      <c r="A10" s="18">
        <v>45901.99914583333</v>
      </c>
      <c r="B10" s="19" t="s">
        <v>573</v>
      </c>
      <c r="C10" s="19" t="s">
        <v>574</v>
      </c>
      <c r="D10" s="19" t="s">
        <v>26</v>
      </c>
      <c r="E10" s="19" t="s">
        <v>939</v>
      </c>
      <c r="F10" s="19">
        <v>28.0</v>
      </c>
      <c r="G10" s="19">
        <v>37.0</v>
      </c>
      <c r="H10" s="19">
        <v>59.0</v>
      </c>
      <c r="I10" s="19" t="s">
        <v>370</v>
      </c>
      <c r="J10" s="19">
        <v>90.0</v>
      </c>
      <c r="K10" s="22">
        <f t="shared" si="1"/>
        <v>64</v>
      </c>
      <c r="L10" s="22" t="str">
        <f t="shared" si="2"/>
        <v>Fair</v>
      </c>
      <c r="M10" s="22" t="str">
        <f t="shared" si="3"/>
        <v>Breather-in-Training</v>
      </c>
    </row>
    <row r="11" ht="22.5" customHeight="1">
      <c r="A11" s="18">
        <v>45902.001794502314</v>
      </c>
      <c r="B11" s="19" t="s">
        <v>226</v>
      </c>
      <c r="C11" s="19" t="s">
        <v>1637</v>
      </c>
      <c r="D11" s="19" t="s">
        <v>562</v>
      </c>
      <c r="E11" s="19" t="s">
        <v>1638</v>
      </c>
      <c r="F11" s="19">
        <v>25.0</v>
      </c>
      <c r="G11" s="19">
        <v>58.0</v>
      </c>
      <c r="H11" s="19">
        <v>58.0</v>
      </c>
      <c r="I11" s="19" t="s">
        <v>438</v>
      </c>
      <c r="J11" s="19">
        <v>56.0</v>
      </c>
      <c r="K11" s="22">
        <f t="shared" si="1"/>
        <v>60</v>
      </c>
      <c r="L11" s="22" t="str">
        <f t="shared" si="2"/>
        <v>Fair</v>
      </c>
      <c r="M11" s="22" t="str">
        <f t="shared" si="3"/>
        <v>Breather-in-Training</v>
      </c>
    </row>
    <row r="12" ht="22.5" customHeight="1">
      <c r="A12" s="18">
        <v>45902.14231863426</v>
      </c>
      <c r="B12" s="19" t="s">
        <v>573</v>
      </c>
      <c r="C12" s="19" t="s">
        <v>574</v>
      </c>
      <c r="D12" s="19" t="s">
        <v>26</v>
      </c>
      <c r="E12" s="19" t="s">
        <v>1639</v>
      </c>
      <c r="F12" s="19">
        <v>28.0</v>
      </c>
      <c r="G12" s="19">
        <v>37.0</v>
      </c>
      <c r="H12" s="19">
        <v>59.0</v>
      </c>
      <c r="I12" s="19" t="s">
        <v>101</v>
      </c>
      <c r="J12" s="19">
        <v>90.0</v>
      </c>
      <c r="K12" s="22">
        <f t="shared" si="1"/>
        <v>52</v>
      </c>
      <c r="L12" s="22" t="str">
        <f t="shared" si="2"/>
        <v>Fair</v>
      </c>
      <c r="M12" s="22" t="str">
        <f t="shared" si="3"/>
        <v>Breather-in-Training</v>
      </c>
    </row>
    <row r="13" ht="22.5" customHeight="1">
      <c r="A13" s="18">
        <v>45902.14444862268</v>
      </c>
      <c r="B13" s="19" t="s">
        <v>573</v>
      </c>
      <c r="C13" s="19" t="s">
        <v>574</v>
      </c>
      <c r="D13" s="19" t="s">
        <v>26</v>
      </c>
      <c r="E13" s="19" t="s">
        <v>1640</v>
      </c>
      <c r="F13" s="19">
        <v>33.0</v>
      </c>
      <c r="G13" s="19">
        <v>45.0</v>
      </c>
      <c r="H13" s="19">
        <v>66.0</v>
      </c>
      <c r="I13" s="19" t="s">
        <v>438</v>
      </c>
      <c r="J13" s="19">
        <v>99.0</v>
      </c>
      <c r="K13" s="22">
        <f t="shared" si="1"/>
        <v>64</v>
      </c>
      <c r="L13" s="22" t="str">
        <f t="shared" si="2"/>
        <v>Fair</v>
      </c>
      <c r="M13" s="22" t="str">
        <f t="shared" si="3"/>
        <v>Breather-in-Training</v>
      </c>
    </row>
    <row r="14" ht="22.5" customHeight="1">
      <c r="A14" s="18">
        <v>45904.85298319445</v>
      </c>
      <c r="B14" s="19" t="s">
        <v>573</v>
      </c>
      <c r="C14" s="19" t="s">
        <v>574</v>
      </c>
      <c r="D14" s="19" t="s">
        <v>26</v>
      </c>
      <c r="E14" s="19" t="s">
        <v>1641</v>
      </c>
      <c r="F14" s="19">
        <v>28.0</v>
      </c>
      <c r="G14" s="19">
        <v>45.0</v>
      </c>
      <c r="H14" s="19">
        <v>61.0</v>
      </c>
      <c r="I14" s="19" t="s">
        <v>438</v>
      </c>
      <c r="J14" s="19">
        <v>99.0</v>
      </c>
      <c r="K14" s="22">
        <f t="shared" si="1"/>
        <v>62</v>
      </c>
      <c r="L14" s="22" t="str">
        <f t="shared" si="2"/>
        <v>Fair</v>
      </c>
      <c r="M14" s="22" t="str">
        <f t="shared" si="3"/>
        <v>Breather-in-Training</v>
      </c>
    </row>
    <row r="15" ht="22.5" customHeight="1">
      <c r="A15" s="18">
        <v>45909.836773981486</v>
      </c>
      <c r="B15" s="19" t="s">
        <v>573</v>
      </c>
      <c r="C15" s="19" t="s">
        <v>574</v>
      </c>
      <c r="D15" s="19" t="s">
        <v>26</v>
      </c>
      <c r="E15" s="19" t="s">
        <v>1631</v>
      </c>
      <c r="F15" s="19">
        <v>29.0</v>
      </c>
      <c r="G15" s="19">
        <v>55.0</v>
      </c>
      <c r="H15" s="19">
        <v>66.0</v>
      </c>
      <c r="I15" s="19" t="s">
        <v>438</v>
      </c>
      <c r="J15" s="19">
        <v>99.0</v>
      </c>
      <c r="K15" s="22">
        <f t="shared" si="1"/>
        <v>66</v>
      </c>
      <c r="L15" s="22" t="str">
        <f t="shared" si="2"/>
        <v>Good</v>
      </c>
      <c r="M15" s="22" t="str">
        <f t="shared" si="3"/>
        <v>Functional Breather</v>
      </c>
    </row>
    <row r="16" ht="22.5" customHeight="1">
      <c r="A16" s="18">
        <v>45911.91871921296</v>
      </c>
      <c r="B16" s="19" t="s">
        <v>573</v>
      </c>
      <c r="C16" s="19" t="s">
        <v>574</v>
      </c>
      <c r="D16" s="19" t="s">
        <v>26</v>
      </c>
      <c r="E16" s="19" t="s">
        <v>1642</v>
      </c>
      <c r="F16" s="19">
        <v>28.0</v>
      </c>
      <c r="G16" s="19">
        <v>39.0</v>
      </c>
      <c r="H16" s="19">
        <v>55.0</v>
      </c>
      <c r="I16" s="19" t="s">
        <v>370</v>
      </c>
      <c r="J16" s="19">
        <v>92.0</v>
      </c>
      <c r="K16" s="22">
        <f t="shared" si="1"/>
        <v>64</v>
      </c>
      <c r="L16" s="22" t="str">
        <f t="shared" si="2"/>
        <v>Fair</v>
      </c>
      <c r="M16" s="22" t="str">
        <f t="shared" si="3"/>
        <v>Breather-in-Training</v>
      </c>
    </row>
    <row r="17" ht="22.5" customHeight="1">
      <c r="A17" s="18">
        <v>45911.93110983796</v>
      </c>
      <c r="B17" s="19" t="s">
        <v>1643</v>
      </c>
      <c r="C17" s="19" t="s">
        <v>574</v>
      </c>
      <c r="D17" s="19" t="s">
        <v>26</v>
      </c>
      <c r="E17" s="19" t="s">
        <v>1644</v>
      </c>
      <c r="F17" s="19">
        <v>29.0</v>
      </c>
      <c r="G17" s="19">
        <v>44.0</v>
      </c>
      <c r="H17" s="19">
        <v>58.0</v>
      </c>
      <c r="I17" s="19" t="s">
        <v>101</v>
      </c>
      <c r="J17" s="19">
        <v>97.0</v>
      </c>
      <c r="K17" s="22">
        <f t="shared" si="1"/>
        <v>56</v>
      </c>
      <c r="L17" s="22" t="str">
        <f t="shared" si="2"/>
        <v>Fair</v>
      </c>
      <c r="M17" s="22" t="str">
        <f t="shared" si="3"/>
        <v>Breather-in-Training</v>
      </c>
    </row>
    <row r="18" ht="22.5" customHeight="1">
      <c r="A18" s="18">
        <v>45911.93605829861</v>
      </c>
      <c r="B18" s="19" t="s">
        <v>573</v>
      </c>
      <c r="C18" s="19" t="s">
        <v>574</v>
      </c>
      <c r="D18" s="19" t="s">
        <v>26</v>
      </c>
      <c r="E18" s="19" t="s">
        <v>1645</v>
      </c>
      <c r="F18" s="19">
        <v>28.0</v>
      </c>
      <c r="G18" s="19">
        <v>33.0</v>
      </c>
      <c r="H18" s="19">
        <v>55.0</v>
      </c>
      <c r="I18" s="19" t="s">
        <v>438</v>
      </c>
      <c r="J18" s="19">
        <v>95.0</v>
      </c>
      <c r="K18" s="22">
        <f t="shared" si="1"/>
        <v>58</v>
      </c>
      <c r="L18" s="22" t="str">
        <f t="shared" si="2"/>
        <v>Fair</v>
      </c>
      <c r="M18" s="22" t="str">
        <f t="shared" si="3"/>
        <v>Breather-in-Training</v>
      </c>
    </row>
    <row r="19" ht="22.5" customHeight="1">
      <c r="A19" s="18">
        <v>45911.95748699074</v>
      </c>
      <c r="B19" s="19" t="s">
        <v>1503</v>
      </c>
      <c r="C19" s="19" t="s">
        <v>1504</v>
      </c>
      <c r="D19" s="19" t="s">
        <v>1646</v>
      </c>
      <c r="E19" s="19" t="s">
        <v>1647</v>
      </c>
      <c r="F19" s="19">
        <v>33.0</v>
      </c>
      <c r="G19" s="19">
        <v>55.0</v>
      </c>
      <c r="H19" s="19">
        <v>65.0</v>
      </c>
      <c r="I19" s="19" t="s">
        <v>370</v>
      </c>
      <c r="J19" s="19">
        <v>101.0</v>
      </c>
      <c r="K19" s="22">
        <f t="shared" si="1"/>
        <v>74</v>
      </c>
      <c r="L19" s="22" t="str">
        <f t="shared" si="2"/>
        <v>Good</v>
      </c>
      <c r="M19" s="22" t="str">
        <f t="shared" si="3"/>
        <v>Functional Breather</v>
      </c>
    </row>
    <row r="20" ht="22.5" customHeight="1">
      <c r="A20" s="18">
        <v>45912.52433615741</v>
      </c>
      <c r="B20" s="19" t="s">
        <v>85</v>
      </c>
      <c r="C20" s="19" t="s">
        <v>89</v>
      </c>
      <c r="D20" s="19" t="s">
        <v>93</v>
      </c>
      <c r="E20" s="19" t="s">
        <v>94</v>
      </c>
      <c r="F20" s="19">
        <v>20.0</v>
      </c>
      <c r="G20" s="19">
        <v>42.0</v>
      </c>
      <c r="H20" s="19">
        <v>40.0</v>
      </c>
      <c r="I20" s="19" t="s">
        <v>101</v>
      </c>
      <c r="J20" s="19">
        <v>75.0</v>
      </c>
      <c r="K20" s="22">
        <f t="shared" si="1"/>
        <v>46</v>
      </c>
      <c r="L20" s="22" t="str">
        <f t="shared" si="2"/>
        <v>Poor</v>
      </c>
      <c r="M20" s="22" t="str">
        <f t="shared" si="3"/>
        <v>Breath Beginner</v>
      </c>
    </row>
    <row r="21" ht="22.5" customHeight="1">
      <c r="A21" s="18">
        <v>45912.660105393516</v>
      </c>
      <c r="B21" s="19" t="s">
        <v>226</v>
      </c>
      <c r="C21" s="19" t="s">
        <v>229</v>
      </c>
      <c r="D21" s="19" t="s">
        <v>231</v>
      </c>
      <c r="E21" s="19" t="s">
        <v>234</v>
      </c>
      <c r="F21" s="19">
        <v>26.0</v>
      </c>
      <c r="G21" s="19">
        <v>64.0</v>
      </c>
      <c r="H21" s="19">
        <v>65.0</v>
      </c>
      <c r="I21" s="19" t="s">
        <v>101</v>
      </c>
      <c r="J21" s="19">
        <v>93.75</v>
      </c>
      <c r="K21" s="22">
        <f t="shared" si="1"/>
        <v>60</v>
      </c>
      <c r="L21" s="22" t="str">
        <f t="shared" si="2"/>
        <v>Fair</v>
      </c>
      <c r="M21" s="22" t="str">
        <f t="shared" si="3"/>
        <v>Breather-in-Training</v>
      </c>
    </row>
    <row r="22" ht="22.5" customHeight="1">
      <c r="A22" s="18">
        <v>45912.805809363424</v>
      </c>
      <c r="B22" s="19" t="s">
        <v>300</v>
      </c>
      <c r="C22" s="19" t="s">
        <v>301</v>
      </c>
      <c r="D22" s="19" t="s">
        <v>302</v>
      </c>
      <c r="E22" s="19" t="s">
        <v>303</v>
      </c>
      <c r="F22" s="19">
        <v>21.0</v>
      </c>
      <c r="G22" s="19">
        <v>48.0</v>
      </c>
      <c r="H22" s="19">
        <v>45.0</v>
      </c>
      <c r="I22" s="19" t="s">
        <v>101</v>
      </c>
      <c r="J22" s="19">
        <v>140.0</v>
      </c>
      <c r="K22" s="22">
        <f t="shared" si="1"/>
        <v>52</v>
      </c>
      <c r="L22" s="22" t="str">
        <f t="shared" si="2"/>
        <v>Fair</v>
      </c>
      <c r="M22" s="22" t="str">
        <f t="shared" si="3"/>
        <v>Breather-in-Training</v>
      </c>
    </row>
    <row r="23" ht="22.5" customHeight="1">
      <c r="A23" s="18">
        <v>45912.81318902777</v>
      </c>
      <c r="B23" s="19" t="s">
        <v>326</v>
      </c>
      <c r="C23" s="19" t="s">
        <v>329</v>
      </c>
      <c r="D23" s="19" t="s">
        <v>330</v>
      </c>
      <c r="E23" s="19" t="s">
        <v>331</v>
      </c>
      <c r="F23" s="19">
        <v>27.0</v>
      </c>
      <c r="G23" s="19">
        <v>53.0</v>
      </c>
      <c r="H23" s="19">
        <v>38.0</v>
      </c>
      <c r="I23" s="19" t="s">
        <v>101</v>
      </c>
      <c r="J23" s="19">
        <v>64.28</v>
      </c>
      <c r="K23" s="22">
        <f t="shared" si="1"/>
        <v>40</v>
      </c>
      <c r="L23" s="22" t="str">
        <f t="shared" si="2"/>
        <v>Poor</v>
      </c>
      <c r="M23" s="22" t="str">
        <f t="shared" si="3"/>
        <v>Breath Beginner</v>
      </c>
    </row>
    <row r="24" ht="22.5" customHeight="1">
      <c r="A24" s="18">
        <v>45912.8205409375</v>
      </c>
      <c r="B24" s="19" t="s">
        <v>355</v>
      </c>
      <c r="C24" s="19" t="s">
        <v>356</v>
      </c>
      <c r="D24" s="19" t="s">
        <v>359</v>
      </c>
      <c r="E24" s="19" t="s">
        <v>361</v>
      </c>
      <c r="F24" s="19">
        <v>22.0</v>
      </c>
      <c r="G24" s="19">
        <v>54.0</v>
      </c>
      <c r="H24" s="19">
        <v>36.0</v>
      </c>
      <c r="I24" s="19" t="s">
        <v>101</v>
      </c>
      <c r="J24" s="19">
        <v>123.0</v>
      </c>
      <c r="K24" s="22">
        <f t="shared" si="1"/>
        <v>46</v>
      </c>
      <c r="L24" s="22" t="str">
        <f t="shared" si="2"/>
        <v>Poor</v>
      </c>
      <c r="M24" s="22" t="str">
        <f t="shared" si="3"/>
        <v>Breath Beginner</v>
      </c>
    </row>
    <row r="25" ht="22.5" customHeight="1">
      <c r="A25" s="18">
        <v>45912.83305597222</v>
      </c>
      <c r="B25" s="19" t="s">
        <v>300</v>
      </c>
      <c r="C25" s="19" t="s">
        <v>301</v>
      </c>
      <c r="D25" s="19" t="s">
        <v>302</v>
      </c>
      <c r="E25" s="19" t="s">
        <v>382</v>
      </c>
      <c r="F25" s="19">
        <v>0.0</v>
      </c>
      <c r="G25" s="19">
        <v>0.0</v>
      </c>
      <c r="H25" s="19">
        <v>0.0</v>
      </c>
      <c r="I25" s="19" t="s">
        <v>385</v>
      </c>
      <c r="J25" s="19">
        <v>0.0</v>
      </c>
      <c r="K25" s="22">
        <f t="shared" si="1"/>
        <v>0</v>
      </c>
      <c r="L25" s="22" t="str">
        <f t="shared" si="2"/>
        <v>Very Poor</v>
      </c>
      <c r="M25" s="22" t="str">
        <f t="shared" si="3"/>
        <v>Breath-Aware</v>
      </c>
    </row>
    <row r="26" ht="22.5" customHeight="1">
      <c r="A26" s="18">
        <v>45912.87366693287</v>
      </c>
      <c r="B26" s="19" t="s">
        <v>396</v>
      </c>
      <c r="C26" s="19" t="s">
        <v>397</v>
      </c>
      <c r="D26" s="19" t="s">
        <v>398</v>
      </c>
      <c r="E26" s="19" t="s">
        <v>399</v>
      </c>
      <c r="F26" s="19">
        <v>20.0</v>
      </c>
      <c r="G26" s="19">
        <v>30.0</v>
      </c>
      <c r="H26" s="19">
        <v>47.0</v>
      </c>
      <c r="I26" s="19" t="s">
        <v>101</v>
      </c>
      <c r="J26" s="19">
        <v>95.0</v>
      </c>
      <c r="K26" s="22">
        <f t="shared" si="1"/>
        <v>44</v>
      </c>
      <c r="L26" s="22" t="str">
        <f t="shared" si="2"/>
        <v>Poor</v>
      </c>
      <c r="M26" s="22" t="str">
        <f t="shared" si="3"/>
        <v>Breath Beginner</v>
      </c>
    </row>
    <row r="27" ht="22.5" customHeight="1">
      <c r="A27" s="18">
        <v>45915.74815864583</v>
      </c>
      <c r="B27" s="19" t="s">
        <v>417</v>
      </c>
      <c r="C27" s="19" t="s">
        <v>421</v>
      </c>
      <c r="D27" s="19" t="s">
        <v>422</v>
      </c>
      <c r="E27" s="19" t="s">
        <v>426</v>
      </c>
      <c r="F27" s="19">
        <v>26.0</v>
      </c>
      <c r="G27" s="19">
        <v>47.0</v>
      </c>
      <c r="H27" s="19">
        <v>48.0</v>
      </c>
      <c r="I27" s="19" t="s">
        <v>438</v>
      </c>
      <c r="J27" s="19">
        <v>96.1</v>
      </c>
      <c r="K27" s="22">
        <f t="shared" si="1"/>
        <v>56</v>
      </c>
      <c r="L27" s="22" t="str">
        <f t="shared" si="2"/>
        <v>Fair</v>
      </c>
      <c r="M27" s="22" t="str">
        <f t="shared" si="3"/>
        <v>Breather-in-Training</v>
      </c>
    </row>
    <row r="28" ht="22.5" customHeight="1">
      <c r="A28" s="18">
        <v>45915.80814204861</v>
      </c>
      <c r="B28" s="19" t="s">
        <v>195</v>
      </c>
      <c r="C28" s="19" t="s">
        <v>498</v>
      </c>
      <c r="D28" s="19" t="s">
        <v>503</v>
      </c>
      <c r="E28" s="19" t="s">
        <v>505</v>
      </c>
      <c r="F28" s="19">
        <v>10.0</v>
      </c>
      <c r="G28" s="19">
        <v>29.75</v>
      </c>
      <c r="H28" s="19">
        <v>20.0</v>
      </c>
      <c r="I28" s="19" t="s">
        <v>438</v>
      </c>
      <c r="J28" s="19">
        <v>47.6</v>
      </c>
      <c r="K28" s="22">
        <f t="shared" si="1"/>
        <v>28</v>
      </c>
      <c r="L28" s="22" t="str">
        <f t="shared" si="2"/>
        <v>Very Poor</v>
      </c>
      <c r="M28" s="22" t="str">
        <f t="shared" si="3"/>
        <v>Breath-Aware</v>
      </c>
    </row>
    <row r="29" ht="22.5" customHeight="1">
      <c r="A29" s="18">
        <v>45915.81471384259</v>
      </c>
      <c r="B29" s="19" t="s">
        <v>560</v>
      </c>
      <c r="C29" s="19" t="s">
        <v>563</v>
      </c>
      <c r="D29" s="19" t="s">
        <v>567</v>
      </c>
      <c r="E29" s="19" t="s">
        <v>570</v>
      </c>
      <c r="F29" s="19">
        <v>17.0</v>
      </c>
      <c r="G29" s="19">
        <v>61.0</v>
      </c>
      <c r="H29" s="19">
        <v>30.0</v>
      </c>
      <c r="I29" s="19" t="s">
        <v>101</v>
      </c>
      <c r="J29" s="19">
        <v>38.5</v>
      </c>
      <c r="K29" s="22">
        <f t="shared" si="1"/>
        <v>38</v>
      </c>
      <c r="L29" s="22" t="str">
        <f t="shared" si="2"/>
        <v>Poor</v>
      </c>
      <c r="M29" s="22" t="str">
        <f t="shared" si="3"/>
        <v>Breath Beginner</v>
      </c>
    </row>
    <row r="30" ht="22.5" customHeight="1">
      <c r="A30" s="18">
        <v>45915.89736611111</v>
      </c>
      <c r="B30" s="19" t="s">
        <v>624</v>
      </c>
      <c r="C30" s="19" t="s">
        <v>625</v>
      </c>
      <c r="D30" s="19" t="s">
        <v>627</v>
      </c>
      <c r="E30" s="19" t="s">
        <v>628</v>
      </c>
      <c r="F30" s="19">
        <v>21.0</v>
      </c>
      <c r="G30" s="19">
        <v>42.0</v>
      </c>
      <c r="H30" s="19">
        <v>30.0</v>
      </c>
      <c r="I30" s="19" t="s">
        <v>101</v>
      </c>
      <c r="J30" s="19">
        <v>45.0</v>
      </c>
      <c r="K30" s="22">
        <f t="shared" si="1"/>
        <v>36</v>
      </c>
      <c r="L30" s="22" t="str">
        <f t="shared" si="2"/>
        <v>Poor</v>
      </c>
      <c r="M30" s="22" t="str">
        <f t="shared" si="3"/>
        <v>Breath Beginner</v>
      </c>
    </row>
    <row r="31" ht="22.5" customHeight="1">
      <c r="A31" s="18">
        <v>45916.14416523148</v>
      </c>
      <c r="B31" s="19" t="s">
        <v>659</v>
      </c>
      <c r="C31" s="19" t="s">
        <v>498</v>
      </c>
      <c r="D31" s="19" t="s">
        <v>664</v>
      </c>
      <c r="E31" s="19" t="s">
        <v>667</v>
      </c>
      <c r="F31" s="19">
        <v>14.0</v>
      </c>
      <c r="G31" s="19">
        <v>50.0</v>
      </c>
      <c r="H31" s="19">
        <v>28.0</v>
      </c>
      <c r="I31" s="19" t="s">
        <v>101</v>
      </c>
      <c r="J31" s="19">
        <v>78.5</v>
      </c>
      <c r="K31" s="22">
        <f t="shared" si="1"/>
        <v>36</v>
      </c>
      <c r="L31" s="22" t="str">
        <f t="shared" si="2"/>
        <v>Poor</v>
      </c>
      <c r="M31" s="22" t="str">
        <f t="shared" si="3"/>
        <v>Breath Beginner</v>
      </c>
    </row>
    <row r="32" ht="22.5" customHeight="1">
      <c r="A32" s="18">
        <v>45917.985819062495</v>
      </c>
      <c r="B32" s="19" t="s">
        <v>702</v>
      </c>
      <c r="C32" s="19" t="s">
        <v>653</v>
      </c>
      <c r="D32" s="19" t="s">
        <v>707</v>
      </c>
      <c r="E32" s="19" t="s">
        <v>709</v>
      </c>
      <c r="F32" s="19">
        <v>18.0</v>
      </c>
      <c r="G32" s="19">
        <v>53.0</v>
      </c>
      <c r="H32" s="19">
        <v>49.0</v>
      </c>
      <c r="I32" s="19" t="s">
        <v>715</v>
      </c>
      <c r="J32" s="19">
        <v>82.7</v>
      </c>
      <c r="K32" s="22">
        <f t="shared" si="1"/>
        <v>32</v>
      </c>
      <c r="L32" s="22" t="str">
        <f t="shared" si="2"/>
        <v>Poor</v>
      </c>
      <c r="M32" s="22" t="str">
        <f t="shared" si="3"/>
        <v>Breath Beginner</v>
      </c>
    </row>
    <row r="33" ht="22.5" customHeight="1">
      <c r="A33" s="18">
        <v>45918.044909502314</v>
      </c>
      <c r="B33" s="19" t="s">
        <v>1648</v>
      </c>
      <c r="C33" s="19" t="s">
        <v>1649</v>
      </c>
      <c r="D33" s="19" t="s">
        <v>750</v>
      </c>
      <c r="E33" s="19" t="s">
        <v>753</v>
      </c>
      <c r="F33" s="19">
        <v>26.0</v>
      </c>
      <c r="G33" s="19">
        <v>42.0</v>
      </c>
      <c r="H33" s="19">
        <v>33.0</v>
      </c>
      <c r="I33" s="19" t="s">
        <v>101</v>
      </c>
      <c r="J33" s="19">
        <v>52.6</v>
      </c>
      <c r="K33" s="22">
        <f t="shared" si="1"/>
        <v>38</v>
      </c>
      <c r="L33" s="22" t="str">
        <f t="shared" si="2"/>
        <v>Poor</v>
      </c>
      <c r="M33" s="22" t="str">
        <f t="shared" si="3"/>
        <v>Breath Beginner</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14.25"/>
    <col customWidth="1" min="3" max="3" width="18.25"/>
    <col customWidth="1" min="4" max="4" width="31.63"/>
    <col customWidth="1" min="5" max="5" width="52.63"/>
    <col customWidth="1" min="6" max="6" width="36.63"/>
    <col customWidth="1" min="7" max="7" width="46.13"/>
    <col customWidth="1" min="8" max="9" width="52.63"/>
    <col customWidth="1" min="10" max="10" width="40.25"/>
    <col customWidth="1" min="11" max="13" width="52.63"/>
    <col customWidth="1" min="14" max="14" width="69.75"/>
    <col customWidth="1" min="15" max="15" width="52.63"/>
    <col customWidth="1" min="16" max="21" width="18.88"/>
  </cols>
  <sheetData>
    <row r="1" ht="22.5" customHeight="1">
      <c r="A1" s="43" t="s">
        <v>9</v>
      </c>
      <c r="B1" s="43" t="s">
        <v>31</v>
      </c>
      <c r="C1" s="43" t="s">
        <v>34</v>
      </c>
      <c r="D1" s="44" t="s">
        <v>1512</v>
      </c>
      <c r="E1" s="43" t="s">
        <v>1513</v>
      </c>
      <c r="F1" s="43" t="s">
        <v>1514</v>
      </c>
      <c r="G1" s="43" t="s">
        <v>1516</v>
      </c>
      <c r="H1" s="43" t="s">
        <v>1517</v>
      </c>
      <c r="I1" s="43" t="s">
        <v>1518</v>
      </c>
      <c r="J1" s="44" t="s">
        <v>1519</v>
      </c>
      <c r="K1" s="44" t="s">
        <v>1520</v>
      </c>
      <c r="L1" s="44" t="s">
        <v>1521</v>
      </c>
      <c r="M1" s="44" t="s">
        <v>1522</v>
      </c>
      <c r="N1" s="44" t="s">
        <v>1523</v>
      </c>
      <c r="O1" s="43" t="s">
        <v>1524</v>
      </c>
    </row>
    <row r="2" ht="22.5" customHeight="1">
      <c r="A2" s="45">
        <v>45916.964073310184</v>
      </c>
      <c r="B2" s="46" t="s">
        <v>396</v>
      </c>
      <c r="C2" s="46" t="s">
        <v>397</v>
      </c>
      <c r="D2" s="46">
        <v>5.0</v>
      </c>
      <c r="E2" s="46" t="s">
        <v>1526</v>
      </c>
      <c r="F2" s="46" t="s">
        <v>1527</v>
      </c>
      <c r="G2" s="47"/>
      <c r="H2" s="46" t="s">
        <v>11</v>
      </c>
      <c r="I2" s="46" t="s">
        <v>11</v>
      </c>
      <c r="J2" s="46">
        <v>5.0</v>
      </c>
      <c r="K2" s="46" t="s">
        <v>1529</v>
      </c>
      <c r="L2" s="46" t="s">
        <v>1530</v>
      </c>
      <c r="M2" s="46" t="s">
        <v>1531</v>
      </c>
      <c r="N2" s="46" t="s">
        <v>1532</v>
      </c>
      <c r="O2" s="46" t="s">
        <v>1533</v>
      </c>
    </row>
    <row r="3" ht="22.5" customHeight="1">
      <c r="A3" s="45">
        <v>45916.99972665509</v>
      </c>
      <c r="B3" s="46" t="s">
        <v>1534</v>
      </c>
      <c r="C3" s="46" t="s">
        <v>1535</v>
      </c>
      <c r="D3" s="46">
        <v>2.0</v>
      </c>
      <c r="E3" s="46" t="s">
        <v>1537</v>
      </c>
      <c r="F3" s="46" t="s">
        <v>11</v>
      </c>
      <c r="G3" s="46" t="s">
        <v>1538</v>
      </c>
      <c r="H3" s="46" t="s">
        <v>1539</v>
      </c>
      <c r="I3" s="46" t="s">
        <v>1540</v>
      </c>
      <c r="J3" s="46">
        <v>2.0</v>
      </c>
      <c r="K3" s="46" t="s">
        <v>1542</v>
      </c>
      <c r="L3" s="46" t="s">
        <v>1543</v>
      </c>
      <c r="M3" s="46" t="s">
        <v>1544</v>
      </c>
      <c r="N3" s="46" t="s">
        <v>1545</v>
      </c>
      <c r="O3" s="46" t="s">
        <v>1546</v>
      </c>
    </row>
    <row r="4" ht="22.5" customHeight="1">
      <c r="A4" s="45">
        <v>45918.14884702546</v>
      </c>
      <c r="B4" s="46" t="s">
        <v>226</v>
      </c>
      <c r="C4" s="46" t="s">
        <v>229</v>
      </c>
      <c r="D4" s="46">
        <v>4.0</v>
      </c>
      <c r="E4" s="46" t="s">
        <v>1548</v>
      </c>
      <c r="F4" s="46" t="s">
        <v>1527</v>
      </c>
      <c r="G4" s="47"/>
      <c r="H4" s="46" t="s">
        <v>11</v>
      </c>
      <c r="I4" s="46" t="s">
        <v>1549</v>
      </c>
      <c r="J4" s="46">
        <v>5.0</v>
      </c>
      <c r="K4" s="46" t="s">
        <v>1550</v>
      </c>
      <c r="L4" s="47"/>
      <c r="M4" s="46" t="s">
        <v>1551</v>
      </c>
      <c r="N4" s="46" t="s">
        <v>1552</v>
      </c>
      <c r="O4" s="47"/>
    </row>
    <row r="5" ht="22.5" customHeight="1">
      <c r="A5" s="45">
        <v>45919.47659203704</v>
      </c>
      <c r="B5" s="46" t="s">
        <v>85</v>
      </c>
      <c r="C5" s="46" t="s">
        <v>89</v>
      </c>
      <c r="D5" s="46">
        <v>5.0</v>
      </c>
      <c r="E5" s="46" t="s">
        <v>1554</v>
      </c>
      <c r="F5" s="46" t="s">
        <v>1527</v>
      </c>
      <c r="G5" s="47"/>
      <c r="H5" s="46" t="s">
        <v>11</v>
      </c>
      <c r="I5" s="46" t="s">
        <v>1555</v>
      </c>
      <c r="J5" s="46">
        <v>5.0</v>
      </c>
      <c r="K5" s="46" t="s">
        <v>1556</v>
      </c>
      <c r="L5" s="46" t="s">
        <v>1557</v>
      </c>
      <c r="M5" s="46" t="s">
        <v>1558</v>
      </c>
      <c r="N5" s="46" t="s">
        <v>1559</v>
      </c>
      <c r="O5" s="47"/>
    </row>
    <row r="6" ht="22.5" customHeight="1">
      <c r="A6" s="45">
        <v>45919.96325917824</v>
      </c>
      <c r="B6" s="46" t="s">
        <v>355</v>
      </c>
      <c r="C6" s="46" t="s">
        <v>561</v>
      </c>
      <c r="D6" s="46">
        <v>5.0</v>
      </c>
      <c r="E6" s="47"/>
      <c r="F6" s="46" t="s">
        <v>1527</v>
      </c>
      <c r="G6" s="47"/>
      <c r="H6" s="46" t="s">
        <v>11</v>
      </c>
      <c r="I6" s="46" t="s">
        <v>11</v>
      </c>
      <c r="J6" s="46">
        <v>5.0</v>
      </c>
      <c r="K6" s="46" t="s">
        <v>1560</v>
      </c>
      <c r="L6" s="46" t="s">
        <v>1561</v>
      </c>
      <c r="M6" s="46" t="s">
        <v>1527</v>
      </c>
      <c r="N6" s="46" t="s">
        <v>1563</v>
      </c>
      <c r="O6" s="46" t="s">
        <v>1564</v>
      </c>
    </row>
    <row r="7" ht="22.5" customHeight="1">
      <c r="A7" s="48">
        <v>45921.77870782407</v>
      </c>
      <c r="B7" s="32" t="s">
        <v>417</v>
      </c>
      <c r="C7" s="32" t="s">
        <v>421</v>
      </c>
      <c r="D7" s="32">
        <v>4.0</v>
      </c>
      <c r="E7" s="32" t="s">
        <v>1565</v>
      </c>
      <c r="F7" s="32" t="s">
        <v>1527</v>
      </c>
      <c r="G7" s="49"/>
      <c r="H7" s="32" t="s">
        <v>11</v>
      </c>
      <c r="I7" s="32" t="s">
        <v>1566</v>
      </c>
      <c r="J7" s="32">
        <v>3.0</v>
      </c>
      <c r="K7" s="32" t="s">
        <v>1567</v>
      </c>
      <c r="L7" s="32" t="s">
        <v>1568</v>
      </c>
      <c r="M7" s="32" t="s">
        <v>1569</v>
      </c>
      <c r="N7" s="32" t="s">
        <v>1571</v>
      </c>
      <c r="O7" s="49"/>
      <c r="P7" s="26"/>
      <c r="Q7" s="26"/>
      <c r="R7" s="26"/>
      <c r="S7" s="26"/>
      <c r="T7" s="26"/>
      <c r="U7" s="26"/>
    </row>
    <row r="8" ht="22.5" customHeight="1">
      <c r="A8" s="48">
        <v>45921.9497916088</v>
      </c>
      <c r="B8" s="32" t="s">
        <v>702</v>
      </c>
      <c r="C8" s="32" t="s">
        <v>653</v>
      </c>
      <c r="D8" s="32">
        <v>5.0</v>
      </c>
      <c r="E8" s="49"/>
      <c r="F8" s="32" t="s">
        <v>1527</v>
      </c>
      <c r="G8" s="49"/>
      <c r="H8" s="32" t="s">
        <v>11</v>
      </c>
      <c r="I8" s="32" t="s">
        <v>1572</v>
      </c>
      <c r="J8" s="32">
        <v>5.0</v>
      </c>
      <c r="K8" s="32" t="s">
        <v>1573</v>
      </c>
      <c r="L8" s="32" t="s">
        <v>1574</v>
      </c>
      <c r="M8" s="32" t="s">
        <v>1575</v>
      </c>
      <c r="N8" s="32" t="s">
        <v>1576</v>
      </c>
      <c r="O8" s="32" t="s">
        <v>1577</v>
      </c>
      <c r="P8" s="26"/>
      <c r="Q8" s="26"/>
      <c r="R8" s="26"/>
      <c r="S8" s="26"/>
      <c r="T8" s="26"/>
      <c r="U8" s="26"/>
    </row>
    <row r="9">
      <c r="A9" s="26"/>
      <c r="B9" s="26"/>
      <c r="C9" s="26"/>
      <c r="D9" s="26"/>
      <c r="E9" s="26"/>
      <c r="F9" s="26"/>
      <c r="G9" s="26"/>
      <c r="H9" s="26"/>
      <c r="I9" s="26"/>
      <c r="J9" s="26"/>
      <c r="K9" s="26"/>
      <c r="L9" s="26"/>
      <c r="M9" s="26"/>
      <c r="N9" s="26"/>
      <c r="O9" s="26"/>
    </row>
    <row r="10">
      <c r="A10" s="26"/>
      <c r="B10" s="26"/>
      <c r="C10" s="26"/>
      <c r="D10" s="26"/>
      <c r="E10" s="26"/>
      <c r="F10" s="26"/>
      <c r="G10" s="26"/>
      <c r="H10" s="26"/>
      <c r="I10" s="26"/>
      <c r="J10" s="26"/>
      <c r="K10" s="26"/>
      <c r="L10" s="26"/>
      <c r="M10" s="26"/>
      <c r="N10" s="26"/>
      <c r="O10" s="26"/>
    </row>
    <row r="11">
      <c r="A11" s="26"/>
      <c r="B11" s="26"/>
      <c r="C11" s="26"/>
      <c r="D11" s="26"/>
      <c r="E11" s="26"/>
      <c r="F11" s="26"/>
      <c r="G11" s="26"/>
      <c r="H11" s="26"/>
      <c r="I11" s="26"/>
      <c r="J11" s="26"/>
      <c r="K11" s="26"/>
      <c r="L11" s="26"/>
      <c r="M11" s="26"/>
      <c r="N11" s="26"/>
      <c r="O11" s="26"/>
    </row>
    <row r="12">
      <c r="A12" s="26"/>
      <c r="B12" s="26"/>
      <c r="C12" s="26"/>
      <c r="D12" s="26"/>
      <c r="E12" s="26"/>
      <c r="F12" s="26"/>
      <c r="G12" s="26"/>
      <c r="H12" s="26"/>
      <c r="I12" s="26"/>
      <c r="J12" s="26"/>
      <c r="K12" s="26"/>
      <c r="L12" s="26"/>
      <c r="M12" s="26"/>
      <c r="N12" s="26"/>
      <c r="O12" s="26"/>
    </row>
    <row r="13">
      <c r="A13" s="26"/>
      <c r="B13" s="26"/>
      <c r="C13" s="26"/>
      <c r="D13" s="26"/>
      <c r="E13" s="26"/>
      <c r="F13" s="26"/>
      <c r="G13" s="26"/>
      <c r="H13" s="26"/>
      <c r="I13" s="26"/>
      <c r="J13" s="26"/>
      <c r="K13" s="26"/>
      <c r="L13" s="26"/>
      <c r="M13" s="26"/>
      <c r="N13" s="26"/>
      <c r="O13" s="26"/>
    </row>
    <row r="14">
      <c r="A14" s="26"/>
      <c r="B14" s="26"/>
      <c r="C14" s="26"/>
      <c r="D14" s="26"/>
      <c r="E14" s="26"/>
      <c r="F14" s="26"/>
      <c r="G14" s="26"/>
      <c r="H14" s="26"/>
      <c r="I14" s="26"/>
      <c r="J14" s="26"/>
      <c r="K14" s="26"/>
      <c r="L14" s="26"/>
      <c r="M14" s="26"/>
      <c r="N14" s="26"/>
      <c r="O14" s="26"/>
    </row>
    <row r="15">
      <c r="A15" s="26"/>
      <c r="B15" s="26"/>
      <c r="C15" s="26"/>
      <c r="D15" s="26"/>
      <c r="E15" s="26"/>
      <c r="F15" s="26"/>
      <c r="G15" s="26"/>
      <c r="H15" s="26"/>
      <c r="I15" s="26"/>
      <c r="J15" s="26"/>
      <c r="K15" s="26"/>
      <c r="L15" s="26"/>
      <c r="M15" s="26"/>
      <c r="N15" s="26"/>
      <c r="O15" s="26"/>
    </row>
    <row r="16">
      <c r="A16" s="26"/>
      <c r="B16" s="26"/>
      <c r="C16" s="26"/>
      <c r="D16" s="26"/>
      <c r="E16" s="26"/>
      <c r="F16" s="26"/>
      <c r="G16" s="26"/>
      <c r="H16" s="26"/>
      <c r="I16" s="26"/>
      <c r="J16" s="26"/>
      <c r="K16" s="26"/>
      <c r="L16" s="26"/>
      <c r="M16" s="26"/>
      <c r="N16" s="26"/>
      <c r="O16" s="26"/>
    </row>
    <row r="17">
      <c r="A17" s="26"/>
      <c r="B17" s="26"/>
      <c r="C17" s="26"/>
      <c r="D17" s="26"/>
      <c r="E17" s="26"/>
      <c r="F17" s="26"/>
      <c r="G17" s="26"/>
      <c r="H17" s="26"/>
      <c r="I17" s="26"/>
      <c r="J17" s="26"/>
      <c r="K17" s="26"/>
      <c r="L17" s="26"/>
      <c r="M17" s="26"/>
      <c r="N17" s="26"/>
      <c r="O17" s="26"/>
    </row>
    <row r="18">
      <c r="A18" s="26"/>
      <c r="B18" s="26"/>
      <c r="C18" s="26"/>
      <c r="D18" s="26"/>
      <c r="E18" s="26"/>
      <c r="F18" s="26"/>
      <c r="G18" s="26"/>
      <c r="H18" s="26"/>
      <c r="I18" s="26"/>
      <c r="J18" s="26"/>
      <c r="K18" s="26"/>
      <c r="L18" s="26"/>
      <c r="M18" s="26"/>
      <c r="N18" s="26"/>
      <c r="O18" s="26"/>
    </row>
    <row r="19">
      <c r="A19" s="26"/>
      <c r="B19" s="26"/>
      <c r="C19" s="26"/>
      <c r="D19" s="26"/>
      <c r="E19" s="26"/>
      <c r="F19" s="26"/>
      <c r="G19" s="26"/>
      <c r="H19" s="26"/>
      <c r="I19" s="26"/>
      <c r="J19" s="26"/>
      <c r="K19" s="26"/>
      <c r="L19" s="26"/>
      <c r="M19" s="26"/>
      <c r="N19" s="26"/>
      <c r="O19" s="26"/>
    </row>
    <row r="20">
      <c r="A20" s="26"/>
      <c r="B20" s="26"/>
      <c r="C20" s="26"/>
      <c r="D20" s="26"/>
      <c r="E20" s="26"/>
      <c r="F20" s="26"/>
      <c r="G20" s="26"/>
      <c r="H20" s="26"/>
      <c r="I20" s="26"/>
      <c r="J20" s="26"/>
      <c r="K20" s="26"/>
      <c r="L20" s="26"/>
      <c r="M20" s="26"/>
      <c r="N20" s="26"/>
      <c r="O20" s="26"/>
    </row>
    <row r="21">
      <c r="A21" s="26"/>
      <c r="B21" s="26"/>
      <c r="C21" s="26"/>
      <c r="D21" s="26"/>
      <c r="E21" s="26"/>
      <c r="F21" s="26"/>
      <c r="G21" s="26"/>
      <c r="H21" s="26"/>
      <c r="I21" s="26"/>
      <c r="J21" s="26"/>
      <c r="K21" s="26"/>
      <c r="L21" s="26"/>
      <c r="M21" s="26"/>
      <c r="N21" s="26"/>
      <c r="O21" s="26"/>
    </row>
    <row r="22">
      <c r="A22" s="26"/>
      <c r="B22" s="26"/>
      <c r="C22" s="26"/>
      <c r="D22" s="26"/>
      <c r="E22" s="26"/>
      <c r="F22" s="26"/>
      <c r="G22" s="26"/>
      <c r="H22" s="26"/>
      <c r="I22" s="26"/>
      <c r="J22" s="26"/>
      <c r="K22" s="26"/>
      <c r="L22" s="26"/>
      <c r="M22" s="26"/>
      <c r="N22" s="26"/>
      <c r="O22" s="26"/>
    </row>
    <row r="23">
      <c r="A23" s="26"/>
      <c r="B23" s="26"/>
      <c r="C23" s="26"/>
      <c r="D23" s="26"/>
      <c r="E23" s="26"/>
      <c r="F23" s="26"/>
      <c r="G23" s="26"/>
      <c r="H23" s="26"/>
      <c r="I23" s="26"/>
      <c r="J23" s="26"/>
      <c r="K23" s="26"/>
      <c r="L23" s="26"/>
      <c r="M23" s="26"/>
      <c r="N23" s="26"/>
      <c r="O23" s="26"/>
    </row>
    <row r="24">
      <c r="A24" s="26"/>
      <c r="B24" s="26"/>
      <c r="C24" s="26"/>
      <c r="D24" s="26"/>
      <c r="E24" s="26"/>
      <c r="F24" s="26"/>
      <c r="G24" s="26"/>
      <c r="H24" s="26"/>
      <c r="I24" s="26"/>
      <c r="J24" s="26"/>
      <c r="K24" s="26"/>
      <c r="L24" s="26"/>
      <c r="M24" s="26"/>
      <c r="N24" s="26"/>
      <c r="O24" s="26"/>
    </row>
    <row r="25">
      <c r="A25" s="26"/>
      <c r="B25" s="26"/>
      <c r="C25" s="26"/>
      <c r="D25" s="26"/>
      <c r="E25" s="26"/>
      <c r="F25" s="26"/>
      <c r="G25" s="26"/>
      <c r="H25" s="26"/>
      <c r="I25" s="26"/>
      <c r="J25" s="26"/>
      <c r="K25" s="26"/>
      <c r="L25" s="26"/>
      <c r="M25" s="26"/>
      <c r="N25" s="26"/>
      <c r="O25" s="26"/>
    </row>
    <row r="26">
      <c r="A26" s="26"/>
      <c r="B26" s="26"/>
      <c r="C26" s="26"/>
      <c r="D26" s="26"/>
      <c r="E26" s="26"/>
      <c r="F26" s="26"/>
      <c r="G26" s="26"/>
      <c r="H26" s="26"/>
      <c r="I26" s="26"/>
      <c r="J26" s="26"/>
      <c r="K26" s="26"/>
      <c r="L26" s="26"/>
      <c r="M26" s="26"/>
      <c r="N26" s="26"/>
      <c r="O26" s="26"/>
    </row>
    <row r="27">
      <c r="A27" s="26"/>
      <c r="B27" s="26"/>
      <c r="C27" s="26"/>
      <c r="D27" s="26"/>
      <c r="E27" s="26"/>
      <c r="F27" s="26"/>
      <c r="G27" s="26"/>
      <c r="H27" s="26"/>
      <c r="I27" s="26"/>
      <c r="J27" s="26"/>
      <c r="K27" s="26"/>
      <c r="L27" s="26"/>
      <c r="M27" s="26"/>
      <c r="N27" s="26"/>
      <c r="O27" s="26"/>
    </row>
    <row r="28">
      <c r="A28" s="26"/>
      <c r="B28" s="26"/>
      <c r="C28" s="26"/>
      <c r="D28" s="26"/>
      <c r="E28" s="26"/>
      <c r="F28" s="26"/>
      <c r="G28" s="26"/>
      <c r="H28" s="26"/>
      <c r="I28" s="26"/>
      <c r="J28" s="26"/>
      <c r="K28" s="26"/>
      <c r="L28" s="26"/>
      <c r="M28" s="26"/>
      <c r="N28" s="26"/>
      <c r="O28" s="26"/>
    </row>
    <row r="29">
      <c r="A29" s="26"/>
      <c r="B29" s="26"/>
      <c r="C29" s="26"/>
      <c r="D29" s="26"/>
      <c r="E29" s="26"/>
      <c r="F29" s="26"/>
      <c r="G29" s="26"/>
      <c r="H29" s="26"/>
      <c r="I29" s="26"/>
      <c r="J29" s="26"/>
      <c r="K29" s="26"/>
      <c r="L29" s="26"/>
      <c r="M29" s="26"/>
      <c r="N29" s="26"/>
      <c r="O29" s="26"/>
    </row>
    <row r="30">
      <c r="A30" s="26"/>
      <c r="B30" s="26"/>
      <c r="C30" s="26"/>
      <c r="D30" s="26"/>
      <c r="E30" s="26"/>
      <c r="F30" s="26"/>
      <c r="G30" s="26"/>
      <c r="H30" s="26"/>
      <c r="I30" s="26"/>
      <c r="J30" s="26"/>
      <c r="K30" s="26"/>
      <c r="L30" s="26"/>
      <c r="M30" s="26"/>
      <c r="N30" s="26"/>
      <c r="O30" s="26"/>
    </row>
    <row r="31">
      <c r="A31" s="26"/>
      <c r="B31" s="26"/>
      <c r="C31" s="26"/>
      <c r="D31" s="26"/>
      <c r="E31" s="26"/>
      <c r="F31" s="26"/>
      <c r="G31" s="26"/>
      <c r="H31" s="26"/>
      <c r="I31" s="26"/>
      <c r="J31" s="26"/>
      <c r="K31" s="26"/>
      <c r="L31" s="26"/>
      <c r="M31" s="26"/>
      <c r="N31" s="26"/>
      <c r="O31" s="26"/>
    </row>
    <row r="32">
      <c r="A32" s="26"/>
      <c r="B32" s="26"/>
      <c r="C32" s="26"/>
      <c r="D32" s="26"/>
      <c r="E32" s="26"/>
      <c r="F32" s="26"/>
      <c r="G32" s="26"/>
      <c r="H32" s="26"/>
      <c r="I32" s="26"/>
      <c r="J32" s="26"/>
      <c r="K32" s="26"/>
      <c r="L32" s="26"/>
      <c r="M32" s="26"/>
      <c r="N32" s="26"/>
      <c r="O32" s="26"/>
    </row>
    <row r="33">
      <c r="A33" s="26"/>
      <c r="B33" s="26"/>
      <c r="C33" s="26"/>
      <c r="D33" s="26"/>
      <c r="E33" s="26"/>
      <c r="F33" s="26"/>
      <c r="G33" s="26"/>
      <c r="H33" s="26"/>
      <c r="I33" s="26"/>
      <c r="J33" s="26"/>
      <c r="K33" s="26"/>
      <c r="L33" s="26"/>
      <c r="M33" s="26"/>
      <c r="N33" s="26"/>
      <c r="O33" s="26"/>
    </row>
    <row r="34">
      <c r="A34" s="26"/>
      <c r="B34" s="26"/>
      <c r="C34" s="26"/>
      <c r="D34" s="26"/>
      <c r="E34" s="26"/>
      <c r="F34" s="26"/>
      <c r="G34" s="26"/>
      <c r="H34" s="26"/>
      <c r="I34" s="26"/>
      <c r="J34" s="26"/>
      <c r="K34" s="26"/>
      <c r="L34" s="26"/>
      <c r="M34" s="26"/>
      <c r="N34" s="26"/>
      <c r="O34" s="26"/>
    </row>
    <row r="35">
      <c r="A35" s="26"/>
      <c r="B35" s="26"/>
      <c r="C35" s="26"/>
      <c r="D35" s="26"/>
      <c r="E35" s="26"/>
      <c r="F35" s="26"/>
      <c r="G35" s="26"/>
      <c r="H35" s="26"/>
      <c r="I35" s="26"/>
      <c r="J35" s="26"/>
      <c r="K35" s="26"/>
      <c r="L35" s="26"/>
      <c r="M35" s="26"/>
      <c r="N35" s="26"/>
      <c r="O35" s="26"/>
    </row>
    <row r="36">
      <c r="A36" s="26"/>
      <c r="B36" s="26"/>
      <c r="C36" s="26"/>
      <c r="D36" s="26"/>
      <c r="E36" s="26"/>
      <c r="F36" s="26"/>
      <c r="G36" s="26"/>
      <c r="H36" s="26"/>
      <c r="I36" s="26"/>
      <c r="J36" s="26"/>
      <c r="K36" s="26"/>
      <c r="L36" s="26"/>
      <c r="M36" s="26"/>
      <c r="N36" s="26"/>
      <c r="O36" s="26"/>
    </row>
    <row r="37">
      <c r="A37" s="26"/>
      <c r="B37" s="26"/>
      <c r="C37" s="26"/>
      <c r="D37" s="26"/>
      <c r="E37" s="26"/>
      <c r="F37" s="26"/>
      <c r="G37" s="26"/>
      <c r="H37" s="26"/>
      <c r="I37" s="26"/>
      <c r="J37" s="26"/>
      <c r="K37" s="26"/>
      <c r="L37" s="26"/>
      <c r="M37" s="26"/>
      <c r="N37" s="26"/>
      <c r="O37" s="26"/>
    </row>
    <row r="38">
      <c r="A38" s="26"/>
      <c r="B38" s="26"/>
      <c r="C38" s="26"/>
      <c r="D38" s="26"/>
      <c r="E38" s="26"/>
      <c r="F38" s="26"/>
      <c r="G38" s="26"/>
      <c r="H38" s="26"/>
      <c r="I38" s="26"/>
      <c r="J38" s="26"/>
      <c r="K38" s="26"/>
      <c r="L38" s="26"/>
      <c r="M38" s="26"/>
      <c r="N38" s="26"/>
      <c r="O38" s="26"/>
    </row>
    <row r="39">
      <c r="A39" s="26"/>
      <c r="B39" s="26"/>
      <c r="C39" s="26"/>
      <c r="D39" s="26"/>
      <c r="E39" s="26"/>
      <c r="F39" s="26"/>
      <c r="G39" s="26"/>
      <c r="H39" s="26"/>
      <c r="I39" s="26"/>
      <c r="J39" s="26"/>
      <c r="K39" s="26"/>
      <c r="L39" s="26"/>
      <c r="M39" s="26"/>
      <c r="N39" s="26"/>
      <c r="O39" s="26"/>
    </row>
    <row r="40">
      <c r="A40" s="26"/>
      <c r="B40" s="26"/>
      <c r="C40" s="26"/>
      <c r="D40" s="26"/>
      <c r="E40" s="26"/>
      <c r="F40" s="26"/>
      <c r="G40" s="26"/>
      <c r="H40" s="26"/>
      <c r="I40" s="26"/>
      <c r="J40" s="26"/>
      <c r="K40" s="26"/>
      <c r="L40" s="26"/>
      <c r="M40" s="26"/>
      <c r="N40" s="26"/>
      <c r="O40" s="26"/>
    </row>
    <row r="41">
      <c r="A41" s="26"/>
      <c r="B41" s="26"/>
      <c r="C41" s="26"/>
      <c r="D41" s="26"/>
      <c r="E41" s="26"/>
      <c r="F41" s="26"/>
      <c r="G41" s="26"/>
      <c r="H41" s="26"/>
      <c r="I41" s="26"/>
      <c r="J41" s="26"/>
      <c r="K41" s="26"/>
      <c r="L41" s="26"/>
      <c r="M41" s="26"/>
      <c r="N41" s="26"/>
      <c r="O41" s="26"/>
    </row>
    <row r="42">
      <c r="A42" s="26"/>
      <c r="B42" s="26"/>
      <c r="C42" s="26"/>
      <c r="D42" s="26"/>
      <c r="E42" s="26"/>
      <c r="F42" s="26"/>
      <c r="G42" s="26"/>
      <c r="H42" s="26"/>
      <c r="I42" s="26"/>
      <c r="J42" s="26"/>
      <c r="K42" s="26"/>
      <c r="L42" s="26"/>
      <c r="M42" s="26"/>
      <c r="N42" s="26"/>
      <c r="O42" s="26"/>
    </row>
    <row r="43">
      <c r="A43" s="26"/>
      <c r="B43" s="26"/>
      <c r="C43" s="26"/>
      <c r="D43" s="26"/>
      <c r="E43" s="26"/>
      <c r="F43" s="26"/>
      <c r="G43" s="26"/>
      <c r="H43" s="26"/>
      <c r="I43" s="26"/>
      <c r="J43" s="26"/>
      <c r="K43" s="26"/>
      <c r="L43" s="26"/>
      <c r="M43" s="26"/>
      <c r="N43" s="26"/>
      <c r="O43" s="26"/>
    </row>
    <row r="44">
      <c r="A44" s="26"/>
      <c r="B44" s="26"/>
      <c r="C44" s="26"/>
      <c r="D44" s="26"/>
      <c r="E44" s="26"/>
      <c r="F44" s="26"/>
      <c r="G44" s="26"/>
      <c r="H44" s="26"/>
      <c r="I44" s="26"/>
      <c r="J44" s="26"/>
      <c r="K44" s="26"/>
      <c r="L44" s="26"/>
      <c r="M44" s="26"/>
      <c r="N44" s="26"/>
      <c r="O44" s="26"/>
    </row>
    <row r="45">
      <c r="A45" s="26"/>
      <c r="B45" s="26"/>
      <c r="C45" s="26"/>
      <c r="D45" s="26"/>
      <c r="E45" s="26"/>
      <c r="F45" s="26"/>
      <c r="G45" s="26"/>
      <c r="H45" s="26"/>
      <c r="I45" s="26"/>
      <c r="J45" s="26"/>
      <c r="K45" s="26"/>
      <c r="L45" s="26"/>
      <c r="M45" s="26"/>
      <c r="N45" s="26"/>
      <c r="O45" s="26"/>
    </row>
    <row r="46">
      <c r="A46" s="26"/>
      <c r="B46" s="26"/>
      <c r="C46" s="26"/>
      <c r="D46" s="26"/>
      <c r="E46" s="26"/>
      <c r="F46" s="26"/>
      <c r="G46" s="26"/>
      <c r="H46" s="26"/>
      <c r="I46" s="26"/>
      <c r="J46" s="26"/>
      <c r="K46" s="26"/>
      <c r="L46" s="26"/>
      <c r="M46" s="26"/>
      <c r="N46" s="26"/>
      <c r="O46" s="26"/>
    </row>
    <row r="47">
      <c r="A47" s="26"/>
      <c r="B47" s="26"/>
      <c r="C47" s="26"/>
      <c r="D47" s="26"/>
      <c r="E47" s="26"/>
      <c r="F47" s="26"/>
      <c r="G47" s="26"/>
      <c r="H47" s="26"/>
      <c r="I47" s="26"/>
      <c r="J47" s="26"/>
      <c r="K47" s="26"/>
      <c r="L47" s="26"/>
      <c r="M47" s="26"/>
      <c r="N47" s="26"/>
      <c r="O47" s="26"/>
    </row>
    <row r="48">
      <c r="A48" s="26"/>
      <c r="B48" s="26"/>
      <c r="C48" s="26"/>
      <c r="D48" s="26"/>
      <c r="E48" s="26"/>
      <c r="F48" s="26"/>
      <c r="G48" s="26"/>
      <c r="H48" s="26"/>
      <c r="I48" s="26"/>
      <c r="J48" s="26"/>
      <c r="K48" s="26"/>
      <c r="L48" s="26"/>
      <c r="M48" s="26"/>
      <c r="N48" s="26"/>
      <c r="O48" s="26"/>
    </row>
    <row r="49">
      <c r="A49" s="26"/>
      <c r="B49" s="26"/>
      <c r="C49" s="26"/>
      <c r="D49" s="26"/>
      <c r="E49" s="26"/>
      <c r="F49" s="26"/>
      <c r="G49" s="26"/>
      <c r="H49" s="26"/>
      <c r="I49" s="26"/>
      <c r="J49" s="26"/>
      <c r="K49" s="26"/>
      <c r="L49" s="26"/>
      <c r="M49" s="26"/>
      <c r="N49" s="26"/>
      <c r="O49" s="26"/>
    </row>
    <row r="50">
      <c r="A50" s="26"/>
      <c r="B50" s="26"/>
      <c r="C50" s="26"/>
      <c r="D50" s="26"/>
      <c r="E50" s="26"/>
      <c r="F50" s="26"/>
      <c r="G50" s="26"/>
      <c r="H50" s="26"/>
      <c r="I50" s="26"/>
      <c r="J50" s="26"/>
      <c r="K50" s="26"/>
      <c r="L50" s="26"/>
      <c r="M50" s="26"/>
      <c r="N50" s="26"/>
      <c r="O50" s="26"/>
    </row>
    <row r="51">
      <c r="A51" s="26"/>
      <c r="B51" s="26"/>
      <c r="C51" s="26"/>
      <c r="D51" s="26"/>
      <c r="E51" s="26"/>
      <c r="F51" s="26"/>
      <c r="G51" s="26"/>
      <c r="H51" s="26"/>
      <c r="I51" s="26"/>
      <c r="J51" s="26"/>
      <c r="K51" s="26"/>
      <c r="L51" s="26"/>
      <c r="M51" s="26"/>
      <c r="N51" s="26"/>
      <c r="O51" s="26"/>
    </row>
    <row r="52">
      <c r="A52" s="26"/>
      <c r="B52" s="26"/>
      <c r="C52" s="26"/>
      <c r="D52" s="26"/>
      <c r="E52" s="26"/>
      <c r="F52" s="26"/>
      <c r="G52" s="26"/>
      <c r="H52" s="26"/>
      <c r="I52" s="26"/>
      <c r="J52" s="26"/>
      <c r="K52" s="26"/>
      <c r="L52" s="26"/>
      <c r="M52" s="26"/>
      <c r="N52" s="26"/>
      <c r="O52" s="26"/>
    </row>
    <row r="53">
      <c r="A53" s="26"/>
      <c r="B53" s="26"/>
      <c r="C53" s="26"/>
      <c r="D53" s="26"/>
      <c r="E53" s="26"/>
      <c r="F53" s="26"/>
      <c r="G53" s="26"/>
      <c r="H53" s="26"/>
      <c r="I53" s="26"/>
      <c r="J53" s="26"/>
      <c r="K53" s="26"/>
      <c r="L53" s="26"/>
      <c r="M53" s="26"/>
      <c r="N53" s="26"/>
      <c r="O53" s="26"/>
    </row>
    <row r="54">
      <c r="A54" s="26"/>
      <c r="B54" s="26"/>
      <c r="C54" s="26"/>
      <c r="D54" s="26"/>
      <c r="E54" s="26"/>
      <c r="F54" s="26"/>
      <c r="G54" s="26"/>
      <c r="H54" s="26"/>
      <c r="I54" s="26"/>
      <c r="J54" s="26"/>
      <c r="K54" s="26"/>
      <c r="L54" s="26"/>
      <c r="M54" s="26"/>
      <c r="N54" s="26"/>
      <c r="O54" s="26"/>
    </row>
    <row r="55">
      <c r="A55" s="26"/>
      <c r="B55" s="26"/>
      <c r="C55" s="26"/>
      <c r="D55" s="26"/>
      <c r="E55" s="26"/>
      <c r="F55" s="26"/>
      <c r="G55" s="26"/>
      <c r="H55" s="26"/>
      <c r="I55" s="26"/>
      <c r="J55" s="26"/>
      <c r="K55" s="26"/>
      <c r="L55" s="26"/>
      <c r="M55" s="26"/>
      <c r="N55" s="26"/>
      <c r="O55" s="26"/>
    </row>
    <row r="56">
      <c r="A56" s="26"/>
      <c r="B56" s="26"/>
      <c r="C56" s="26"/>
      <c r="D56" s="26"/>
      <c r="E56" s="26"/>
      <c r="F56" s="26"/>
      <c r="G56" s="26"/>
      <c r="H56" s="26"/>
      <c r="I56" s="26"/>
      <c r="J56" s="26"/>
      <c r="K56" s="26"/>
      <c r="L56" s="26"/>
      <c r="M56" s="26"/>
      <c r="N56" s="26"/>
      <c r="O56" s="26"/>
    </row>
    <row r="57">
      <c r="A57" s="26"/>
      <c r="B57" s="26"/>
      <c r="C57" s="26"/>
      <c r="D57" s="26"/>
      <c r="E57" s="26"/>
      <c r="F57" s="26"/>
      <c r="G57" s="26"/>
      <c r="H57" s="26"/>
      <c r="I57" s="26"/>
      <c r="J57" s="26"/>
      <c r="K57" s="26"/>
      <c r="L57" s="26"/>
      <c r="M57" s="26"/>
      <c r="N57" s="26"/>
      <c r="O57" s="26"/>
    </row>
    <row r="58">
      <c r="A58" s="26"/>
      <c r="B58" s="26"/>
      <c r="C58" s="26"/>
      <c r="D58" s="26"/>
      <c r="E58" s="26"/>
      <c r="F58" s="26"/>
      <c r="G58" s="26"/>
      <c r="H58" s="26"/>
      <c r="I58" s="26"/>
      <c r="J58" s="26"/>
      <c r="K58" s="26"/>
      <c r="L58" s="26"/>
      <c r="M58" s="26"/>
      <c r="N58" s="26"/>
      <c r="O58" s="26"/>
    </row>
    <row r="59">
      <c r="A59" s="26"/>
      <c r="B59" s="26"/>
      <c r="C59" s="26"/>
      <c r="D59" s="26"/>
      <c r="E59" s="26"/>
      <c r="F59" s="26"/>
      <c r="G59" s="26"/>
      <c r="H59" s="26"/>
      <c r="I59" s="26"/>
      <c r="J59" s="26"/>
      <c r="K59" s="26"/>
      <c r="L59" s="26"/>
      <c r="M59" s="26"/>
      <c r="N59" s="26"/>
      <c r="O59" s="26"/>
    </row>
    <row r="60">
      <c r="A60" s="26"/>
      <c r="B60" s="26"/>
      <c r="C60" s="26"/>
      <c r="D60" s="26"/>
      <c r="E60" s="26"/>
      <c r="F60" s="26"/>
      <c r="G60" s="26"/>
      <c r="H60" s="26"/>
      <c r="I60" s="26"/>
      <c r="J60" s="26"/>
      <c r="K60" s="26"/>
      <c r="L60" s="26"/>
      <c r="M60" s="26"/>
      <c r="N60" s="26"/>
      <c r="O60" s="26"/>
    </row>
    <row r="61">
      <c r="A61" s="26"/>
      <c r="B61" s="26"/>
      <c r="C61" s="26"/>
      <c r="D61" s="26"/>
      <c r="E61" s="26"/>
      <c r="F61" s="26"/>
      <c r="G61" s="26"/>
      <c r="H61" s="26"/>
      <c r="I61" s="26"/>
      <c r="J61" s="26"/>
      <c r="K61" s="26"/>
      <c r="L61" s="26"/>
      <c r="M61" s="26"/>
      <c r="N61" s="26"/>
      <c r="O61" s="26"/>
    </row>
    <row r="62">
      <c r="A62" s="26"/>
      <c r="B62" s="26"/>
      <c r="C62" s="26"/>
      <c r="D62" s="26"/>
      <c r="E62" s="26"/>
      <c r="F62" s="26"/>
      <c r="G62" s="26"/>
      <c r="H62" s="26"/>
      <c r="I62" s="26"/>
      <c r="J62" s="26"/>
      <c r="K62" s="26"/>
      <c r="L62" s="26"/>
      <c r="M62" s="26"/>
      <c r="N62" s="26"/>
      <c r="O62" s="26"/>
    </row>
    <row r="63">
      <c r="A63" s="26"/>
      <c r="B63" s="26"/>
      <c r="C63" s="26"/>
      <c r="D63" s="26"/>
      <c r="E63" s="26"/>
      <c r="F63" s="26"/>
      <c r="G63" s="26"/>
      <c r="H63" s="26"/>
      <c r="I63" s="26"/>
      <c r="J63" s="26"/>
      <c r="K63" s="26"/>
      <c r="L63" s="26"/>
      <c r="M63" s="26"/>
      <c r="N63" s="26"/>
      <c r="O63" s="26"/>
    </row>
    <row r="64">
      <c r="A64" s="26"/>
      <c r="B64" s="26"/>
      <c r="C64" s="26"/>
      <c r="D64" s="26"/>
      <c r="E64" s="26"/>
      <c r="F64" s="26"/>
      <c r="G64" s="26"/>
      <c r="H64" s="26"/>
      <c r="I64" s="26"/>
      <c r="J64" s="26"/>
      <c r="K64" s="26"/>
      <c r="L64" s="26"/>
      <c r="M64" s="26"/>
      <c r="N64" s="26"/>
      <c r="O64" s="26"/>
    </row>
    <row r="65">
      <c r="A65" s="26"/>
      <c r="B65" s="26"/>
      <c r="C65" s="26"/>
      <c r="D65" s="26"/>
      <c r="E65" s="26"/>
      <c r="F65" s="26"/>
      <c r="G65" s="26"/>
      <c r="H65" s="26"/>
      <c r="I65" s="26"/>
      <c r="J65" s="26"/>
      <c r="K65" s="26"/>
      <c r="L65" s="26"/>
      <c r="M65" s="26"/>
      <c r="N65" s="26"/>
      <c r="O65" s="26"/>
    </row>
    <row r="66">
      <c r="A66" s="26"/>
      <c r="B66" s="26"/>
      <c r="C66" s="26"/>
      <c r="D66" s="26"/>
      <c r="E66" s="26"/>
      <c r="F66" s="26"/>
      <c r="G66" s="26"/>
      <c r="H66" s="26"/>
      <c r="I66" s="26"/>
      <c r="J66" s="26"/>
      <c r="K66" s="26"/>
      <c r="L66" s="26"/>
      <c r="M66" s="26"/>
      <c r="N66" s="26"/>
      <c r="O66" s="26"/>
    </row>
    <row r="67">
      <c r="A67" s="26"/>
      <c r="B67" s="26"/>
      <c r="C67" s="26"/>
      <c r="D67" s="26"/>
      <c r="E67" s="26"/>
      <c r="F67" s="26"/>
      <c r="G67" s="26"/>
      <c r="H67" s="26"/>
      <c r="I67" s="26"/>
      <c r="J67" s="26"/>
      <c r="K67" s="26"/>
      <c r="L67" s="26"/>
      <c r="M67" s="26"/>
      <c r="N67" s="26"/>
      <c r="O67" s="26"/>
    </row>
    <row r="68">
      <c r="A68" s="26"/>
      <c r="B68" s="26"/>
      <c r="C68" s="26"/>
      <c r="D68" s="26"/>
      <c r="E68" s="26"/>
      <c r="F68" s="26"/>
      <c r="G68" s="26"/>
      <c r="H68" s="26"/>
      <c r="I68" s="26"/>
      <c r="J68" s="26"/>
      <c r="K68" s="26"/>
      <c r="L68" s="26"/>
      <c r="M68" s="26"/>
      <c r="N68" s="26"/>
      <c r="O68" s="26"/>
    </row>
    <row r="69">
      <c r="A69" s="26"/>
      <c r="B69" s="26"/>
      <c r="C69" s="26"/>
      <c r="D69" s="26"/>
      <c r="E69" s="26"/>
      <c r="F69" s="26"/>
      <c r="G69" s="26"/>
      <c r="H69" s="26"/>
      <c r="I69" s="26"/>
      <c r="J69" s="26"/>
      <c r="K69" s="26"/>
      <c r="L69" s="26"/>
      <c r="M69" s="26"/>
      <c r="N69" s="26"/>
      <c r="O69" s="26"/>
    </row>
    <row r="70">
      <c r="A70" s="26"/>
      <c r="B70" s="26"/>
      <c r="C70" s="26"/>
      <c r="D70" s="26"/>
      <c r="E70" s="26"/>
      <c r="F70" s="26"/>
      <c r="G70" s="26"/>
      <c r="H70" s="26"/>
      <c r="I70" s="26"/>
      <c r="J70" s="26"/>
      <c r="K70" s="26"/>
      <c r="L70" s="26"/>
      <c r="M70" s="26"/>
      <c r="N70" s="26"/>
      <c r="O70" s="26"/>
    </row>
    <row r="71">
      <c r="A71" s="26"/>
      <c r="B71" s="26"/>
      <c r="C71" s="26"/>
      <c r="D71" s="26"/>
      <c r="E71" s="26"/>
      <c r="F71" s="26"/>
      <c r="G71" s="26"/>
      <c r="H71" s="26"/>
      <c r="I71" s="26"/>
      <c r="J71" s="26"/>
      <c r="K71" s="26"/>
      <c r="L71" s="26"/>
      <c r="M71" s="26"/>
      <c r="N71" s="26"/>
      <c r="O71" s="26"/>
    </row>
    <row r="72">
      <c r="A72" s="26"/>
      <c r="B72" s="26"/>
      <c r="C72" s="26"/>
      <c r="D72" s="26"/>
      <c r="E72" s="26"/>
      <c r="F72" s="26"/>
      <c r="G72" s="26"/>
      <c r="H72" s="26"/>
      <c r="I72" s="26"/>
      <c r="J72" s="26"/>
      <c r="K72" s="26"/>
      <c r="L72" s="26"/>
      <c r="M72" s="26"/>
      <c r="N72" s="26"/>
      <c r="O72" s="26"/>
    </row>
    <row r="73">
      <c r="A73" s="26"/>
      <c r="B73" s="26"/>
      <c r="C73" s="26"/>
      <c r="D73" s="26"/>
      <c r="E73" s="26"/>
      <c r="F73" s="26"/>
      <c r="G73" s="26"/>
      <c r="H73" s="26"/>
      <c r="I73" s="26"/>
      <c r="J73" s="26"/>
      <c r="K73" s="26"/>
      <c r="L73" s="26"/>
      <c r="M73" s="26"/>
      <c r="N73" s="26"/>
      <c r="O73" s="26"/>
    </row>
    <row r="74">
      <c r="A74" s="26"/>
      <c r="B74" s="26"/>
      <c r="C74" s="26"/>
      <c r="D74" s="26"/>
      <c r="E74" s="26"/>
      <c r="F74" s="26"/>
      <c r="G74" s="26"/>
      <c r="H74" s="26"/>
      <c r="I74" s="26"/>
      <c r="J74" s="26"/>
      <c r="K74" s="26"/>
      <c r="L74" s="26"/>
      <c r="M74" s="26"/>
      <c r="N74" s="26"/>
      <c r="O74" s="26"/>
    </row>
    <row r="75">
      <c r="A75" s="26"/>
      <c r="B75" s="26"/>
      <c r="C75" s="26"/>
      <c r="D75" s="26"/>
      <c r="E75" s="26"/>
      <c r="F75" s="26"/>
      <c r="G75" s="26"/>
      <c r="H75" s="26"/>
      <c r="I75" s="26"/>
      <c r="J75" s="26"/>
      <c r="K75" s="26"/>
      <c r="L75" s="26"/>
      <c r="M75" s="26"/>
      <c r="N75" s="26"/>
      <c r="O75" s="26"/>
    </row>
    <row r="76">
      <c r="A76" s="26"/>
      <c r="B76" s="26"/>
      <c r="C76" s="26"/>
      <c r="D76" s="26"/>
      <c r="E76" s="26"/>
      <c r="F76" s="26"/>
      <c r="G76" s="26"/>
      <c r="H76" s="26"/>
      <c r="I76" s="26"/>
      <c r="J76" s="26"/>
      <c r="K76" s="26"/>
      <c r="L76" s="26"/>
      <c r="M76" s="26"/>
      <c r="N76" s="26"/>
      <c r="O76" s="26"/>
    </row>
    <row r="77">
      <c r="A77" s="26"/>
      <c r="B77" s="26"/>
      <c r="C77" s="26"/>
      <c r="D77" s="26"/>
      <c r="E77" s="26"/>
      <c r="F77" s="26"/>
      <c r="G77" s="26"/>
      <c r="H77" s="26"/>
      <c r="I77" s="26"/>
      <c r="J77" s="26"/>
      <c r="K77" s="26"/>
      <c r="L77" s="26"/>
      <c r="M77" s="26"/>
      <c r="N77" s="26"/>
      <c r="O77" s="26"/>
    </row>
    <row r="78">
      <c r="A78" s="26"/>
      <c r="B78" s="26"/>
      <c r="C78" s="26"/>
      <c r="D78" s="26"/>
      <c r="E78" s="26"/>
      <c r="F78" s="26"/>
      <c r="G78" s="26"/>
      <c r="H78" s="26"/>
      <c r="I78" s="26"/>
      <c r="J78" s="26"/>
      <c r="K78" s="26"/>
      <c r="L78" s="26"/>
      <c r="M78" s="26"/>
      <c r="N78" s="26"/>
      <c r="O78" s="26"/>
    </row>
    <row r="79">
      <c r="A79" s="26"/>
      <c r="B79" s="26"/>
      <c r="C79" s="26"/>
      <c r="D79" s="26"/>
      <c r="E79" s="26"/>
      <c r="F79" s="26"/>
      <c r="G79" s="26"/>
      <c r="H79" s="26"/>
      <c r="I79" s="26"/>
      <c r="J79" s="26"/>
      <c r="K79" s="26"/>
      <c r="L79" s="26"/>
      <c r="M79" s="26"/>
      <c r="N79" s="26"/>
      <c r="O79" s="26"/>
    </row>
    <row r="80">
      <c r="A80" s="26"/>
      <c r="B80" s="26"/>
      <c r="C80" s="26"/>
      <c r="D80" s="26"/>
      <c r="E80" s="26"/>
      <c r="F80" s="26"/>
      <c r="G80" s="26"/>
      <c r="H80" s="26"/>
      <c r="I80" s="26"/>
      <c r="J80" s="26"/>
      <c r="K80" s="26"/>
      <c r="L80" s="26"/>
      <c r="M80" s="26"/>
      <c r="N80" s="26"/>
      <c r="O80" s="26"/>
    </row>
    <row r="81">
      <c r="A81" s="26"/>
      <c r="B81" s="26"/>
      <c r="C81" s="26"/>
      <c r="D81" s="26"/>
      <c r="E81" s="26"/>
      <c r="F81" s="26"/>
      <c r="G81" s="26"/>
      <c r="H81" s="26"/>
      <c r="I81" s="26"/>
      <c r="J81" s="26"/>
      <c r="K81" s="26"/>
      <c r="L81" s="26"/>
      <c r="M81" s="26"/>
      <c r="N81" s="26"/>
      <c r="O81" s="26"/>
    </row>
    <row r="82">
      <c r="A82" s="26"/>
      <c r="B82" s="26"/>
      <c r="C82" s="26"/>
      <c r="D82" s="26"/>
      <c r="E82" s="26"/>
      <c r="F82" s="26"/>
      <c r="G82" s="26"/>
      <c r="H82" s="26"/>
      <c r="I82" s="26"/>
      <c r="J82" s="26"/>
      <c r="K82" s="26"/>
      <c r="L82" s="26"/>
      <c r="M82" s="26"/>
      <c r="N82" s="26"/>
      <c r="O82" s="26"/>
    </row>
    <row r="83">
      <c r="A83" s="26"/>
      <c r="B83" s="26"/>
      <c r="C83" s="26"/>
      <c r="D83" s="26"/>
      <c r="E83" s="26"/>
      <c r="F83" s="26"/>
      <c r="G83" s="26"/>
      <c r="H83" s="26"/>
      <c r="I83" s="26"/>
      <c r="J83" s="26"/>
      <c r="K83" s="26"/>
      <c r="L83" s="26"/>
      <c r="M83" s="26"/>
      <c r="N83" s="26"/>
      <c r="O83" s="26"/>
    </row>
    <row r="84">
      <c r="A84" s="26"/>
      <c r="B84" s="26"/>
      <c r="C84" s="26"/>
      <c r="D84" s="26"/>
      <c r="E84" s="26"/>
      <c r="F84" s="26"/>
      <c r="G84" s="26"/>
      <c r="H84" s="26"/>
      <c r="I84" s="26"/>
      <c r="J84" s="26"/>
      <c r="K84" s="26"/>
      <c r="L84" s="26"/>
      <c r="M84" s="26"/>
      <c r="N84" s="26"/>
      <c r="O84" s="26"/>
    </row>
    <row r="85">
      <c r="A85" s="26"/>
      <c r="B85" s="26"/>
      <c r="C85" s="26"/>
      <c r="D85" s="26"/>
      <c r="E85" s="26"/>
      <c r="F85" s="26"/>
      <c r="G85" s="26"/>
      <c r="H85" s="26"/>
      <c r="I85" s="26"/>
      <c r="J85" s="26"/>
      <c r="K85" s="26"/>
      <c r="L85" s="26"/>
      <c r="M85" s="26"/>
      <c r="N85" s="26"/>
      <c r="O85" s="26"/>
    </row>
    <row r="86">
      <c r="A86" s="26"/>
      <c r="B86" s="26"/>
      <c r="C86" s="26"/>
      <c r="D86" s="26"/>
      <c r="E86" s="26"/>
      <c r="F86" s="26"/>
      <c r="G86" s="26"/>
      <c r="H86" s="26"/>
      <c r="I86" s="26"/>
      <c r="J86" s="26"/>
      <c r="K86" s="26"/>
      <c r="L86" s="26"/>
      <c r="M86" s="26"/>
      <c r="N86" s="26"/>
      <c r="O86" s="26"/>
    </row>
    <row r="87">
      <c r="A87" s="26"/>
      <c r="B87" s="26"/>
      <c r="C87" s="26"/>
      <c r="D87" s="26"/>
      <c r="E87" s="26"/>
      <c r="F87" s="26"/>
      <c r="G87" s="26"/>
      <c r="H87" s="26"/>
      <c r="I87" s="26"/>
      <c r="J87" s="26"/>
      <c r="K87" s="26"/>
      <c r="L87" s="26"/>
      <c r="M87" s="26"/>
      <c r="N87" s="26"/>
      <c r="O87" s="26"/>
    </row>
    <row r="88">
      <c r="A88" s="26"/>
      <c r="B88" s="26"/>
      <c r="C88" s="26"/>
      <c r="D88" s="26"/>
      <c r="E88" s="26"/>
      <c r="F88" s="26"/>
      <c r="G88" s="26"/>
      <c r="H88" s="26"/>
      <c r="I88" s="26"/>
      <c r="J88" s="26"/>
      <c r="K88" s="26"/>
      <c r="L88" s="26"/>
      <c r="M88" s="26"/>
      <c r="N88" s="26"/>
      <c r="O88" s="26"/>
    </row>
    <row r="89">
      <c r="A89" s="26"/>
      <c r="B89" s="26"/>
      <c r="C89" s="26"/>
      <c r="D89" s="26"/>
      <c r="E89" s="26"/>
      <c r="F89" s="26"/>
      <c r="G89" s="26"/>
      <c r="H89" s="26"/>
      <c r="I89" s="26"/>
      <c r="J89" s="26"/>
      <c r="K89" s="26"/>
      <c r="L89" s="26"/>
      <c r="M89" s="26"/>
      <c r="N89" s="26"/>
      <c r="O89" s="26"/>
    </row>
    <row r="90">
      <c r="A90" s="26"/>
      <c r="B90" s="26"/>
      <c r="C90" s="26"/>
      <c r="D90" s="26"/>
      <c r="E90" s="26"/>
      <c r="F90" s="26"/>
      <c r="G90" s="26"/>
      <c r="H90" s="26"/>
      <c r="I90" s="26"/>
      <c r="J90" s="26"/>
      <c r="K90" s="26"/>
      <c r="L90" s="26"/>
      <c r="M90" s="26"/>
      <c r="N90" s="26"/>
      <c r="O90" s="26"/>
    </row>
    <row r="91">
      <c r="A91" s="26"/>
      <c r="B91" s="26"/>
      <c r="C91" s="26"/>
      <c r="D91" s="26"/>
      <c r="E91" s="26"/>
      <c r="F91" s="26"/>
      <c r="G91" s="26"/>
      <c r="H91" s="26"/>
      <c r="I91" s="26"/>
      <c r="J91" s="26"/>
      <c r="K91" s="26"/>
      <c r="L91" s="26"/>
      <c r="M91" s="26"/>
      <c r="N91" s="26"/>
      <c r="O91" s="26"/>
    </row>
    <row r="92">
      <c r="A92" s="26"/>
      <c r="B92" s="26"/>
      <c r="C92" s="26"/>
      <c r="D92" s="26"/>
      <c r="E92" s="26"/>
      <c r="F92" s="26"/>
      <c r="G92" s="26"/>
      <c r="H92" s="26"/>
      <c r="I92" s="26"/>
      <c r="J92" s="26"/>
      <c r="K92" s="26"/>
      <c r="L92" s="26"/>
      <c r="M92" s="26"/>
      <c r="N92" s="26"/>
      <c r="O92" s="26"/>
    </row>
    <row r="93">
      <c r="A93" s="26"/>
      <c r="B93" s="26"/>
      <c r="C93" s="26"/>
      <c r="D93" s="26"/>
      <c r="E93" s="26"/>
      <c r="F93" s="26"/>
      <c r="G93" s="26"/>
      <c r="H93" s="26"/>
      <c r="I93" s="26"/>
      <c r="J93" s="26"/>
      <c r="K93" s="26"/>
      <c r="L93" s="26"/>
      <c r="M93" s="26"/>
      <c r="N93" s="26"/>
      <c r="O93" s="26"/>
    </row>
    <row r="94">
      <c r="A94" s="26"/>
      <c r="B94" s="26"/>
      <c r="C94" s="26"/>
      <c r="D94" s="26"/>
      <c r="E94" s="26"/>
      <c r="F94" s="26"/>
      <c r="G94" s="26"/>
      <c r="H94" s="26"/>
      <c r="I94" s="26"/>
      <c r="J94" s="26"/>
      <c r="K94" s="26"/>
      <c r="L94" s="26"/>
      <c r="M94" s="26"/>
      <c r="N94" s="26"/>
      <c r="O94" s="26"/>
    </row>
    <row r="95">
      <c r="A95" s="26"/>
      <c r="B95" s="26"/>
      <c r="C95" s="26"/>
      <c r="D95" s="26"/>
      <c r="E95" s="26"/>
      <c r="F95" s="26"/>
      <c r="G95" s="26"/>
      <c r="H95" s="26"/>
      <c r="I95" s="26"/>
      <c r="J95" s="26"/>
      <c r="K95" s="26"/>
      <c r="L95" s="26"/>
      <c r="M95" s="26"/>
      <c r="N95" s="26"/>
      <c r="O95" s="26"/>
    </row>
    <row r="96">
      <c r="A96" s="26"/>
      <c r="B96" s="26"/>
      <c r="C96" s="26"/>
      <c r="D96" s="26"/>
      <c r="E96" s="26"/>
      <c r="F96" s="26"/>
      <c r="G96" s="26"/>
      <c r="H96" s="26"/>
      <c r="I96" s="26"/>
      <c r="J96" s="26"/>
      <c r="K96" s="26"/>
      <c r="L96" s="26"/>
      <c r="M96" s="26"/>
      <c r="N96" s="26"/>
      <c r="O96" s="26"/>
    </row>
    <row r="97">
      <c r="A97" s="26"/>
      <c r="B97" s="26"/>
      <c r="C97" s="26"/>
      <c r="D97" s="26"/>
      <c r="E97" s="26"/>
      <c r="F97" s="26"/>
      <c r="G97" s="26"/>
      <c r="H97" s="26"/>
      <c r="I97" s="26"/>
      <c r="J97" s="26"/>
      <c r="K97" s="26"/>
      <c r="L97" s="26"/>
      <c r="M97" s="26"/>
      <c r="N97" s="26"/>
      <c r="O97" s="26"/>
    </row>
    <row r="98">
      <c r="A98" s="26"/>
      <c r="B98" s="26"/>
      <c r="C98" s="26"/>
      <c r="D98" s="26"/>
      <c r="E98" s="26"/>
      <c r="F98" s="26"/>
      <c r="G98" s="26"/>
      <c r="H98" s="26"/>
      <c r="I98" s="26"/>
      <c r="J98" s="26"/>
      <c r="K98" s="26"/>
      <c r="L98" s="26"/>
      <c r="M98" s="26"/>
      <c r="N98" s="26"/>
      <c r="O98" s="26"/>
    </row>
    <row r="99">
      <c r="A99" s="26"/>
      <c r="B99" s="26"/>
      <c r="C99" s="26"/>
      <c r="D99" s="26"/>
      <c r="E99" s="26"/>
      <c r="F99" s="26"/>
      <c r="G99" s="26"/>
      <c r="H99" s="26"/>
      <c r="I99" s="26"/>
      <c r="J99" s="26"/>
      <c r="K99" s="26"/>
      <c r="L99" s="26"/>
      <c r="M99" s="26"/>
      <c r="N99" s="26"/>
      <c r="O99" s="26"/>
    </row>
    <row r="100">
      <c r="A100" s="26"/>
      <c r="B100" s="26"/>
      <c r="C100" s="26"/>
      <c r="D100" s="26"/>
      <c r="E100" s="26"/>
      <c r="F100" s="26"/>
      <c r="G100" s="26"/>
      <c r="H100" s="26"/>
      <c r="I100" s="26"/>
      <c r="J100" s="26"/>
      <c r="K100" s="26"/>
      <c r="L100" s="26"/>
      <c r="M100" s="26"/>
      <c r="N100" s="26"/>
      <c r="O100" s="26"/>
    </row>
    <row r="101">
      <c r="A101" s="26"/>
      <c r="B101" s="26"/>
      <c r="C101" s="26"/>
      <c r="D101" s="26"/>
      <c r="E101" s="26"/>
      <c r="F101" s="26"/>
      <c r="G101" s="26"/>
      <c r="H101" s="26"/>
      <c r="I101" s="26"/>
      <c r="J101" s="26"/>
      <c r="K101" s="26"/>
      <c r="L101" s="26"/>
      <c r="M101" s="26"/>
      <c r="N101" s="26"/>
      <c r="O101" s="26"/>
    </row>
    <row r="102">
      <c r="A102" s="26"/>
      <c r="B102" s="26"/>
      <c r="C102" s="26"/>
      <c r="D102" s="26"/>
      <c r="E102" s="26"/>
      <c r="F102" s="26"/>
      <c r="G102" s="26"/>
      <c r="H102" s="26"/>
      <c r="I102" s="26"/>
      <c r="J102" s="26"/>
      <c r="K102" s="26"/>
      <c r="L102" s="26"/>
      <c r="M102" s="26"/>
      <c r="N102" s="26"/>
      <c r="O102" s="26"/>
    </row>
    <row r="103">
      <c r="A103" s="26"/>
      <c r="B103" s="26"/>
      <c r="C103" s="26"/>
      <c r="D103" s="26"/>
      <c r="E103" s="26"/>
      <c r="F103" s="26"/>
      <c r="G103" s="26"/>
      <c r="H103" s="26"/>
      <c r="I103" s="26"/>
      <c r="J103" s="26"/>
      <c r="K103" s="26"/>
      <c r="L103" s="26"/>
      <c r="M103" s="26"/>
      <c r="N103" s="26"/>
      <c r="O103" s="26"/>
    </row>
    <row r="104">
      <c r="A104" s="26"/>
      <c r="B104" s="26"/>
      <c r="C104" s="26"/>
      <c r="D104" s="26"/>
      <c r="E104" s="26"/>
      <c r="F104" s="26"/>
      <c r="G104" s="26"/>
      <c r="H104" s="26"/>
      <c r="I104" s="26"/>
      <c r="J104" s="26"/>
      <c r="K104" s="26"/>
      <c r="L104" s="26"/>
      <c r="M104" s="26"/>
      <c r="N104" s="26"/>
      <c r="O104" s="26"/>
    </row>
    <row r="105">
      <c r="A105" s="26"/>
      <c r="B105" s="26"/>
      <c r="C105" s="26"/>
      <c r="D105" s="26"/>
      <c r="E105" s="26"/>
      <c r="F105" s="26"/>
      <c r="G105" s="26"/>
      <c r="H105" s="26"/>
      <c r="I105" s="26"/>
      <c r="J105" s="26"/>
      <c r="K105" s="26"/>
      <c r="L105" s="26"/>
      <c r="M105" s="26"/>
      <c r="N105" s="26"/>
      <c r="O105" s="26"/>
    </row>
    <row r="106">
      <c r="A106" s="26"/>
      <c r="B106" s="26"/>
      <c r="C106" s="26"/>
      <c r="D106" s="26"/>
      <c r="E106" s="26"/>
      <c r="F106" s="26"/>
      <c r="G106" s="26"/>
      <c r="H106" s="26"/>
      <c r="I106" s="26"/>
      <c r="J106" s="26"/>
      <c r="K106" s="26"/>
      <c r="L106" s="26"/>
      <c r="M106" s="26"/>
      <c r="N106" s="26"/>
      <c r="O106" s="26"/>
    </row>
    <row r="107">
      <c r="A107" s="26"/>
      <c r="B107" s="26"/>
      <c r="C107" s="26"/>
      <c r="D107" s="26"/>
      <c r="E107" s="26"/>
      <c r="F107" s="26"/>
      <c r="G107" s="26"/>
      <c r="H107" s="26"/>
      <c r="I107" s="26"/>
      <c r="J107" s="26"/>
      <c r="K107" s="26"/>
      <c r="L107" s="26"/>
      <c r="M107" s="26"/>
      <c r="N107" s="26"/>
      <c r="O107" s="26"/>
    </row>
    <row r="108">
      <c r="A108" s="26"/>
      <c r="B108" s="26"/>
      <c r="C108" s="26"/>
      <c r="D108" s="26"/>
      <c r="E108" s="26"/>
      <c r="F108" s="26"/>
      <c r="G108" s="26"/>
      <c r="H108" s="26"/>
      <c r="I108" s="26"/>
      <c r="J108" s="26"/>
      <c r="K108" s="26"/>
      <c r="L108" s="26"/>
      <c r="M108" s="26"/>
      <c r="N108" s="26"/>
      <c r="O108" s="26"/>
    </row>
  </sheetData>
  <drawing r:id="rId1"/>
  <tableParts count="1">
    <tablePart r:id="rId3"/>
  </tableParts>
</worksheet>
</file>